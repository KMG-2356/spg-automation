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79E54628-1111-4F67-BE8D-52013A81A6D8}" xr6:coauthVersionLast="47" xr6:coauthVersionMax="47" xr10:uidLastSave="{00000000-0000-0000-0000-000000000000}"/>
  <bookViews>
    <workbookView xWindow="-108" yWindow="-108" windowWidth="23256" windowHeight="12456" firstSheet="16" activeTab="19" xr2:uid="{00000000-000D-0000-FFFF-FFFF00000000}"/>
  </bookViews>
  <sheets>
    <sheet name="Policy_Info" sheetId="1" r:id="rId1"/>
    <sheet name="CP_Locations" sheetId="2" r:id="rId2"/>
    <sheet name="CP_Buildings" sheetId="3" r:id="rId3"/>
    <sheet name="CP_OccupancyQ" sheetId="4" r:id="rId4"/>
    <sheet name="CP_OptCoverages" sheetId="5" r:id="rId5"/>
    <sheet name="CP_LossPayees" sheetId="6" r:id="rId6"/>
    <sheet name="CP_GL_LossHistory" sheetId="7" r:id="rId7"/>
    <sheet name="GL_ClassCodes_Apollo" sheetId="8" r:id="rId8"/>
    <sheet name="GL_ClassCodes_Atrium" sheetId="9" r:id="rId9"/>
    <sheet name="GL_VacantBuildingQ" sheetId="10" r:id="rId10"/>
    <sheet name="GL_AddlInsureds" sheetId="11" r:id="rId11"/>
    <sheet name="Cargo_APD_Insured_UW_Info" sheetId="12" r:id="rId12"/>
    <sheet name="Cargo_APD_Drivers" sheetId="13" r:id="rId13"/>
    <sheet name="Cargo_APD_Vehicles" sheetId="14" r:id="rId14"/>
    <sheet name="Cargo_APD_Trailers" sheetId="15" r:id="rId15"/>
    <sheet name="Cargo_APD_Commodities" sheetId="16" r:id="rId16"/>
    <sheet name="Cargo_APD_Coverages" sheetId="17" r:id="rId17"/>
    <sheet name="Cargo_APD_LossHistory" sheetId="18" r:id="rId18"/>
    <sheet name="Cargo_APD_LossPayees" sheetId="19" r:id="rId19"/>
    <sheet name="Cargo_APD_Add_Info" sheetId="20" r:id="rId20"/>
    <sheet name="Test Scenario Details" sheetId="21" r:id="rId21"/>
  </sheets>
  <definedNames>
    <definedName name="_xlnm._FilterDatabase" localSheetId="1" hidden="1">CP_Locations!$A$1:$R$41</definedName>
    <definedName name="_xlnm._FilterDatabase" localSheetId="8" hidden="1">GL_ClassCodes_Atrium!$A$1:$H$38</definedName>
  </definedNames>
  <calcPr calcId="191029"/>
</workbook>
</file>

<file path=xl/calcChain.xml><?xml version="1.0" encoding="utf-8"?>
<calcChain xmlns="http://schemas.openxmlformats.org/spreadsheetml/2006/main">
  <c r="I1048573" i="7" l="1"/>
  <c r="H1048573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J4" i="7"/>
  <c r="J3" i="7"/>
  <c r="N2" i="7"/>
  <c r="J2" i="7"/>
</calcChain>
</file>

<file path=xl/sharedStrings.xml><?xml version="1.0" encoding="utf-8"?>
<sst xmlns="http://schemas.openxmlformats.org/spreadsheetml/2006/main" count="6239" uniqueCount="1652">
  <si>
    <t>Test ID</t>
  </si>
  <si>
    <t>Binding State</t>
  </si>
  <si>
    <t>Commercial Property?</t>
  </si>
  <si>
    <t xml:space="preserve">Commercial Equipment Breakdown? </t>
  </si>
  <si>
    <t>General Liability Package?</t>
  </si>
  <si>
    <t>GL Carrier</t>
  </si>
  <si>
    <t>Motor Truck Cargo Coverage?</t>
  </si>
  <si>
    <t>Auto Physical Damage?</t>
  </si>
  <si>
    <t>Inland Marine</t>
  </si>
  <si>
    <t>TRIA?</t>
  </si>
  <si>
    <t>Transaction Type</t>
  </si>
  <si>
    <t>Policy Number</t>
  </si>
  <si>
    <t>Effective Date</t>
  </si>
  <si>
    <t>Quote Date</t>
  </si>
  <si>
    <t>Assigned Underwriter</t>
  </si>
  <si>
    <t>Underwriter Assistant</t>
  </si>
  <si>
    <t>UW Manual Surcharge (%)</t>
  </si>
  <si>
    <t>UW Manual Credit (%)</t>
  </si>
  <si>
    <t>Override Reason / Notes</t>
  </si>
  <si>
    <t>Agency Name</t>
  </si>
  <si>
    <t>Agency ID Code</t>
  </si>
  <si>
    <t>Agent's Full Name</t>
  </si>
  <si>
    <t>Agent E-Mail</t>
  </si>
  <si>
    <t>Agent Phone</t>
  </si>
  <si>
    <t>Agent Fax</t>
  </si>
  <si>
    <t>Agent Address Street 1</t>
  </si>
  <si>
    <t>Agent Address Street 2</t>
  </si>
  <si>
    <t>Agent Address City</t>
  </si>
  <si>
    <t>Agent Address State</t>
  </si>
  <si>
    <t>Agent Address Zip</t>
  </si>
  <si>
    <t>Agent's Commission</t>
  </si>
  <si>
    <t>Business / Insured Name</t>
  </si>
  <si>
    <t>DBA / Trade Name</t>
  </si>
  <si>
    <t>Type of Entity</t>
  </si>
  <si>
    <t>Full Name</t>
  </si>
  <si>
    <t>Trustee Address -  Street 1</t>
  </si>
  <si>
    <t>Trustee Address  -  Street 2</t>
  </si>
  <si>
    <t>Trustee Address  -  City</t>
  </si>
  <si>
    <t>Trustee Address  -  State</t>
  </si>
  <si>
    <t>Trustee Address  -  Zip</t>
  </si>
  <si>
    <t>Address  -  Street 1</t>
  </si>
  <si>
    <t>Address  -  Street 2</t>
  </si>
  <si>
    <t>Address  -  City</t>
  </si>
  <si>
    <t>Address  -  State</t>
  </si>
  <si>
    <t>Address  -  Zip</t>
  </si>
  <si>
    <t>Insured Email Address</t>
  </si>
  <si>
    <t>Insured Phone Number</t>
  </si>
  <si>
    <t>Is Insured's physical address same as the mailing address?</t>
  </si>
  <si>
    <t>Insured Pysical Address  -  Street 1</t>
  </si>
  <si>
    <t>Insured Pysical Address  -  Street 2</t>
  </si>
  <si>
    <t>Insured Physical Address  -  City</t>
  </si>
  <si>
    <t>Insured Physical Address  -  State</t>
  </si>
  <si>
    <t>Insured Physical Address  -  Zip</t>
  </si>
  <si>
    <t>New Venture</t>
  </si>
  <si>
    <t>Year Established</t>
  </si>
  <si>
    <t>Type of Company / Carrier</t>
  </si>
  <si>
    <t>Describe Carrier Details</t>
  </si>
  <si>
    <t xml:space="preserve"> Insured also carry their own goods?</t>
  </si>
  <si>
    <t>Insured ICC Docket Number - MC#</t>
  </si>
  <si>
    <t>Filings Required</t>
  </si>
  <si>
    <t>Does this quote include all owned/operated units?</t>
  </si>
  <si>
    <t>Years in Business</t>
  </si>
  <si>
    <t>Federal Tax ID / EIN</t>
  </si>
  <si>
    <t>Garaging Address Street 1</t>
  </si>
  <si>
    <t>Garaging Address Street 2</t>
  </si>
  <si>
    <t>Garaging Address City</t>
  </si>
  <si>
    <t>Garaging Address State</t>
  </si>
  <si>
    <t>Garaging Address Zip</t>
  </si>
  <si>
    <t>Secondary garaging address?</t>
  </si>
  <si>
    <t>Garage Address#1</t>
  </si>
  <si>
    <t>Garage Address#2</t>
  </si>
  <si>
    <t>Garage Address#3</t>
  </si>
  <si>
    <t>Garage Address#4</t>
  </si>
  <si>
    <t>Garage Address#5</t>
  </si>
  <si>
    <t>Same as Insured?</t>
  </si>
  <si>
    <t>Contact Full Name</t>
  </si>
  <si>
    <t>Contact Email</t>
  </si>
  <si>
    <t>Contact Phone</t>
  </si>
  <si>
    <t>TS-001</t>
  </si>
  <si>
    <t>MD</t>
  </si>
  <si>
    <t>Yes</t>
  </si>
  <si>
    <t>No</t>
  </si>
  <si>
    <t>Apollo</t>
  </si>
  <si>
    <t>New Business</t>
  </si>
  <si>
    <t>PA-POL-202600001</t>
  </si>
  <si>
    <t>08/08/2026</t>
  </si>
  <si>
    <t>07/03/2026</t>
  </si>
  <si>
    <t>Megan Lawson</t>
  </si>
  <si>
    <t>Hannah Price</t>
  </si>
  <si>
    <t>New venture with limited loss history; surcharge applied pending first-year performance review.</t>
  </si>
  <si>
    <t>Blue Ridge Risk Partners</t>
  </si>
  <si>
    <t>BRP1024</t>
  </si>
  <si>
    <t>Jordan Ellis</t>
  </si>
  <si>
    <t>jordan.ellis@blueridgerisk.com</t>
  </si>
  <si>
    <t>(804) 555-0134</t>
  </si>
  <si>
    <t>(804) 555-0199</t>
  </si>
  <si>
    <t>1201 E Main St</t>
  </si>
  <si>
    <t>Suite 410</t>
  </si>
  <si>
    <t>Salem</t>
  </si>
  <si>
    <t>OR</t>
  </si>
  <si>
    <t>15.00%</t>
  </si>
  <si>
    <t>Pioneer Freight LLC</t>
  </si>
  <si>
    <t>Pioneer Express</t>
  </si>
  <si>
    <t>Corporation</t>
  </si>
  <si>
    <t>4550 Commerce Pkwy</t>
  </si>
  <si>
    <t>Building 3</t>
  </si>
  <si>
    <t>Annapolis Junction</t>
  </si>
  <si>
    <t>contact@pioneerfreightllc.com</t>
  </si>
  <si>
    <t>(804) 555-0140</t>
  </si>
  <si>
    <t>Private Carriers</t>
  </si>
  <si>
    <t>MC-882314</t>
  </si>
  <si>
    <t>None</t>
  </si>
  <si>
    <t>82-6149371</t>
  </si>
  <si>
    <t>Rebecca Hall</t>
  </si>
  <si>
    <t>ops@coastalcorridor.com</t>
  </si>
  <si>
    <t>(614) 555-0199</t>
  </si>
  <si>
    <t>TS-002</t>
  </si>
  <si>
    <t>PA</t>
  </si>
  <si>
    <t>Attrium</t>
  </si>
  <si>
    <t>WV-POL-202600002</t>
  </si>
  <si>
    <t>07/12/2026</t>
  </si>
  <si>
    <t>Priya Shah</t>
  </si>
  <si>
    <t>Stephen Cole</t>
  </si>
  <si>
    <t>Preferred risk with clean driving record; credit applied for long-term stable operations.</t>
  </si>
  <si>
    <t>Chesapeake Commercial Insurance</t>
  </si>
  <si>
    <t>CCI4471</t>
  </si>
  <si>
    <t>Nicole Bennett</t>
  </si>
  <si>
    <t>nicole.bennett@chesapeakeci.com</t>
  </si>
  <si>
    <t>(410) 555-0188</t>
  </si>
  <si>
    <t>(410) 555-0199</t>
  </si>
  <si>
    <t>500 Light St</t>
  </si>
  <si>
    <t>Floor 12</t>
  </si>
  <si>
    <t>Cranston</t>
  </si>
  <si>
    <t>RI</t>
  </si>
  <si>
    <t>02920</t>
  </si>
  <si>
    <t>13.50%</t>
  </si>
  <si>
    <t>Harbor View Transport Inc.</t>
  </si>
  <si>
    <t>Harbor View Logistics</t>
  </si>
  <si>
    <t>LLC</t>
  </si>
  <si>
    <t>8700 Pulaski Hwy</t>
  </si>
  <si>
    <t>Suite 200</t>
  </si>
  <si>
    <t>Philadelphia</t>
  </si>
  <si>
    <t>dispatch@harborviewtransport.com</t>
  </si>
  <si>
    <t>(410) 555-0190</t>
  </si>
  <si>
    <t>Common Carriers</t>
  </si>
  <si>
    <t>MC-441029</t>
  </si>
  <si>
    <t>State</t>
  </si>
  <si>
    <t>52-9071143</t>
  </si>
  <si>
    <t>Andrew Collins</t>
  </si>
  <si>
    <t>info@metroatlantatransport.com</t>
  </si>
  <si>
    <t>(843) 555-0194</t>
  </si>
  <si>
    <t>TS-003</t>
  </si>
  <si>
    <t>DC</t>
  </si>
  <si>
    <t>WV-POL-202600003</t>
  </si>
  <si>
    <t>Derek Morgan</t>
  </si>
  <si>
    <t>Kimberly Foster</t>
  </si>
  <si>
    <t>Urban delivery exposure and higher frequency of stops warranted minor surcharge.</t>
  </si>
  <si>
    <t>Capitol Underwriting Group</t>
  </si>
  <si>
    <t>CUG3008</t>
  </si>
  <si>
    <t>Alicia Grant</t>
  </si>
  <si>
    <t>alicia.grant@capitoluw.com</t>
  </si>
  <si>
    <t>(202) 555-0177</t>
  </si>
  <si>
    <t>(202) 555-0198</t>
  </si>
  <si>
    <t>1400 K St NW</t>
  </si>
  <si>
    <t>Suite 600</t>
  </si>
  <si>
    <t>Providence</t>
  </si>
  <si>
    <t>02903</t>
  </si>
  <si>
    <t>14.00%</t>
  </si>
  <si>
    <t>District Parcel Services</t>
  </si>
  <si>
    <t>DPS Couriers</t>
  </si>
  <si>
    <t>Partnership</t>
  </si>
  <si>
    <t>925 H St NE</t>
  </si>
  <si>
    <t>Unit B</t>
  </si>
  <si>
    <t>Washington D.C.</t>
  </si>
  <si>
    <t>operations@districtparcel.com</t>
  </si>
  <si>
    <t>(202) 555-0138</t>
  </si>
  <si>
    <t>Contract Carriers</t>
  </si>
  <si>
    <t>MC-774612</t>
  </si>
  <si>
    <t>Federal</t>
  </si>
  <si>
    <t>31-4509286</t>
  </si>
  <si>
    <t>1250 Commerce Dr, Richmond, VA 23224</t>
  </si>
  <si>
    <t>8900 Industrial Rd, Henrico, VA 23228</t>
  </si>
  <si>
    <t>450 Logistics Pkwy, Ashland, VA 23005</t>
  </si>
  <si>
    <t>780 Warehouse Ln, Petersburg, VA 23803</t>
  </si>
  <si>
    <t>320 Fleet St, Chester, VA 23831</t>
  </si>
  <si>
    <t>Derek Whitman</t>
  </si>
  <si>
    <t>admin@shenandoahtransport.com</t>
  </si>
  <si>
    <t>(410) 555-0158</t>
  </si>
  <si>
    <t>TS-004</t>
  </si>
  <si>
    <t>MD-POL-202600004</t>
  </si>
  <si>
    <t>08/25/2026</t>
  </si>
  <si>
    <t>Lauren Diaz</t>
  </si>
  <si>
    <t>Monica Alvarez</t>
  </si>
  <si>
    <t>Well-established fleet with strong safety program and telematics credit.</t>
  </si>
  <si>
    <t>Keystone Business Insurance</t>
  </si>
  <si>
    <t>KBI8820</t>
  </si>
  <si>
    <t>Thomas Reed</t>
  </si>
  <si>
    <t>tom.reed@keystonebizins.com</t>
  </si>
  <si>
    <t>(215) 555-0162</t>
  </si>
  <si>
    <t>(215) 555-0197</t>
  </si>
  <si>
    <t>200 Market St</t>
  </si>
  <si>
    <t>Suite 900</t>
  </si>
  <si>
    <t>Rapid City</t>
  </si>
  <si>
    <t>SD</t>
  </si>
  <si>
    <t>13.00%</t>
  </si>
  <si>
    <t>Liberty Haulage Corporation</t>
  </si>
  <si>
    <t>Liberty Haul</t>
  </si>
  <si>
    <t>Joint Venture</t>
  </si>
  <si>
    <t>3100 Grant Ave</t>
  </si>
  <si>
    <t>admin@libertyhaul.com</t>
  </si>
  <si>
    <t>(215) 555-0112</t>
  </si>
  <si>
    <t>MC-193855</t>
  </si>
  <si>
    <t>Both</t>
  </si>
  <si>
    <t>23-7810459</t>
  </si>
  <si>
    <t>Brian Coleman</t>
  </si>
  <si>
    <t>service@delawareriverlogistics.com</t>
  </si>
  <si>
    <t>(614) 555-0138</t>
  </si>
  <si>
    <t>TS-005</t>
  </si>
  <si>
    <t xml:space="preserve">NC </t>
  </si>
  <si>
    <t>VA-POL-202600005</t>
  </si>
  <si>
    <t>08/21/2026</t>
  </si>
  <si>
    <t>Ethan Brooks</t>
  </si>
  <si>
    <t>Fleet expansion in the last 12 months; surcharge applied due to growth and new routes.</t>
  </si>
  <si>
    <t>Carolina Road Insurance</t>
  </si>
  <si>
    <t>CRI5591</t>
  </si>
  <si>
    <t>Evan Carter</t>
  </si>
  <si>
    <t>evan.carter@carolinaroadins.com</t>
  </si>
  <si>
    <t>(919) 555-0147</t>
  </si>
  <si>
    <t>(919) 555-0196</t>
  </si>
  <si>
    <t>301 Fayetteville St</t>
  </si>
  <si>
    <t>Floor 8</t>
  </si>
  <si>
    <t>Knoxville</t>
  </si>
  <si>
    <t>TN</t>
  </si>
  <si>
    <t>15%</t>
  </si>
  <si>
    <t>Triangle Refrigerated Transport</t>
  </si>
  <si>
    <t>Triangle Reefer</t>
  </si>
  <si>
    <t>Trust</t>
  </si>
  <si>
    <t>Tyler Johnson</t>
  </si>
  <si>
    <t>880 Division St</t>
  </si>
  <si>
    <t>Building 2</t>
  </si>
  <si>
    <t>Beckley</t>
  </si>
  <si>
    <t>WV</t>
  </si>
  <si>
    <t>7400 Westgate Rd</t>
  </si>
  <si>
    <t>Building A</t>
  </si>
  <si>
    <t>Greensboro</t>
  </si>
  <si>
    <t>NC</t>
  </si>
  <si>
    <t>fleet@trianglereefer.com</t>
  </si>
  <si>
    <t>(919) 555-0109</t>
  </si>
  <si>
    <t>Owner of Cargo</t>
  </si>
  <si>
    <t>MC-600184</t>
  </si>
  <si>
    <t>47-3391258</t>
  </si>
  <si>
    <t>TS-006</t>
  </si>
  <si>
    <t>VA-POL-202600006</t>
  </si>
  <si>
    <t>08/14/2026</t>
  </si>
  <si>
    <t>Olivia Bennett</t>
  </si>
  <si>
    <t>Small local operation with favorable prior insurance history.</t>
  </si>
  <si>
    <t>Mountain State Brokers</t>
  </si>
  <si>
    <t>MSB7712</t>
  </si>
  <si>
    <t>Rachel Turner</t>
  </si>
  <si>
    <t>rachel.turner@mountainstatebrokers.com</t>
  </si>
  <si>
    <t>(304) 555-0172</t>
  </si>
  <si>
    <t>(304) 555-0195</t>
  </si>
  <si>
    <t>100 Capitol St</t>
  </si>
  <si>
    <t>Suite 220</t>
  </si>
  <si>
    <t>Nashville</t>
  </si>
  <si>
    <t>16.50%</t>
  </si>
  <si>
    <t>Appalachian Delivery Services</t>
  </si>
  <si>
    <t>App Delivery</t>
  </si>
  <si>
    <t>Estate</t>
  </si>
  <si>
    <t>1900 MacCorkle Ave SE</t>
  </si>
  <si>
    <t>Huntington</t>
  </si>
  <si>
    <t>contact@appdeliverywv.com</t>
  </si>
  <si>
    <t>(304) 555-0116</t>
  </si>
  <si>
    <t>Other</t>
  </si>
  <si>
    <t>Local Delivery Carrier providing insured transportation services across commercial routes, operating compliant vehicles, trained drivers, cargo tracking, and scheduled pickup and delivery for diverse customer shipments.</t>
  </si>
  <si>
    <t>MC-518040</t>
  </si>
  <si>
    <t>55-2846190</t>
  </si>
  <si>
    <t>Peter Lawson</t>
  </si>
  <si>
    <t>billing@lowcountryfreightexchange.com</t>
  </si>
  <si>
    <t>(702) 555-0160</t>
  </si>
  <si>
    <t>TS-007</t>
  </si>
  <si>
    <t>VA</t>
  </si>
  <si>
    <t>NC-POL-202600007</t>
  </si>
  <si>
    <t>07/21/2026</t>
  </si>
  <si>
    <t>Cross-border operating territory increased exposure slightly.</t>
  </si>
  <si>
    <t>First State Risk Advisors</t>
  </si>
  <si>
    <t>FSR4093</t>
  </si>
  <si>
    <t>Brian Mitchell</t>
  </si>
  <si>
    <t>brian.mitchell@firststaterisk.com</t>
  </si>
  <si>
    <t>(302) 555-0181</t>
  </si>
  <si>
    <t>(302) 555-0194</t>
  </si>
  <si>
    <t>1201 N Market St</t>
  </si>
  <si>
    <t>Suite 300</t>
  </si>
  <si>
    <t>Provo</t>
  </si>
  <si>
    <t>UT</t>
  </si>
  <si>
    <t>16%</t>
  </si>
  <si>
    <t>Delaware Freight Line Trust</t>
  </si>
  <si>
    <t>Delaware Freight Line</t>
  </si>
  <si>
    <t>Individual</t>
  </si>
  <si>
    <t>2500 Lancaster Ave</t>
  </si>
  <si>
    <t>Unit 9</t>
  </si>
  <si>
    <t>Warsaw</t>
  </si>
  <si>
    <t>info@delawarefreightline.com</t>
  </si>
  <si>
    <t>(302) 555-0106</t>
  </si>
  <si>
    <t>MC-903551</t>
  </si>
  <si>
    <t>16-7724593</t>
  </si>
  <si>
    <t>Maya Thompson</t>
  </si>
  <si>
    <t>info@desertskytransport.com</t>
  </si>
  <si>
    <t>(202) 555-0120</t>
  </si>
  <si>
    <t>TS-008</t>
  </si>
  <si>
    <t>DE</t>
  </si>
  <si>
    <t>DC-POL-202600008</t>
  </si>
  <si>
    <t>08/12/2026</t>
  </si>
  <si>
    <t>Strong safety controls and high-value accounts justify credit.</t>
  </si>
  <si>
    <t>Pacific Coast Insurance Services</t>
  </si>
  <si>
    <t>PCI6184</t>
  </si>
  <si>
    <t>Sophia Nguyen</t>
  </si>
  <si>
    <t>sophia.nguyen@pacificcoastins.com</t>
  </si>
  <si>
    <t>(213) 555-0193</t>
  </si>
  <si>
    <t>(213) 555-0192</t>
  </si>
  <si>
    <t>555 S Flower St</t>
  </si>
  <si>
    <t>Floor 18</t>
  </si>
  <si>
    <t>Rutland</t>
  </si>
  <si>
    <t>VT</t>
  </si>
  <si>
    <t>05701</t>
  </si>
  <si>
    <t>17.50%</t>
  </si>
  <si>
    <t>Golden Gate Retail Logistics</t>
  </si>
  <si>
    <t>GGR Logistics</t>
  </si>
  <si>
    <t>1800 S Alameda St</t>
  </si>
  <si>
    <t>Suite 140</t>
  </si>
  <si>
    <t>Bear</t>
  </si>
  <si>
    <t>ops@ggrologistics.com</t>
  </si>
  <si>
    <t>(213) 555-0110</t>
  </si>
  <si>
    <t>Wilmington</t>
  </si>
  <si>
    <t>MC-112770</t>
  </si>
  <si>
    <t>94-5082231</t>
  </si>
  <si>
    <t>Omar Fields</t>
  </si>
  <si>
    <t>service@potomaccargoservices.com</t>
  </si>
  <si>
    <t>(304) 555-0149</t>
  </si>
  <si>
    <t>TS-009</t>
  </si>
  <si>
    <t>WV-POL-202600009</t>
  </si>
  <si>
    <t>Interstate long-haul routes and recent fleet additions increased exposure.</t>
  </si>
  <si>
    <t>Lone Star Commercial Insurance</t>
  </si>
  <si>
    <t>LSC7301</t>
  </si>
  <si>
    <t>Madison King</t>
  </si>
  <si>
    <t>madison.king@lonestarcommercial.com</t>
  </si>
  <si>
    <t>(512) 555-0142</t>
  </si>
  <si>
    <t>(512) 555-0191</t>
  </si>
  <si>
    <t>600 Congress Ave</t>
  </si>
  <si>
    <t>Suite 1000</t>
  </si>
  <si>
    <t>Richmond</t>
  </si>
  <si>
    <t>12.50%</t>
  </si>
  <si>
    <t>Rio Grande Transport Estate</t>
  </si>
  <si>
    <t>Rio Grande Transport</t>
  </si>
  <si>
    <t>4300 Bergstrom Dr</t>
  </si>
  <si>
    <t>Hangar 4</t>
  </si>
  <si>
    <t>Bowie</t>
  </si>
  <si>
    <t>service@riograndetransport.com</t>
  </si>
  <si>
    <t>(512) 555-0184</t>
  </si>
  <si>
    <t>MC-330918</t>
  </si>
  <si>
    <t>74-6190358</t>
  </si>
  <si>
    <t>55 Logistics Dr, Fredericksburg, VA 22401</t>
  </si>
  <si>
    <t>600 Commerce Pkwy, Stafford, VA 22554</t>
  </si>
  <si>
    <t>711 Transport Ave, Woodbridge, VA 22191</t>
  </si>
  <si>
    <t>88 Carrier Ct, Dumfries, VA 22026</t>
  </si>
  <si>
    <t>299 Operations Rd, Quantico, VA 22134</t>
  </si>
  <si>
    <t>Noah Wilson</t>
  </si>
  <si>
    <t>info@georgiamountaintransport.com</t>
  </si>
  <si>
    <t>(843) 555-0135</t>
  </si>
  <si>
    <t>TS-010</t>
  </si>
  <si>
    <t>WV-POL-202600010</t>
  </si>
  <si>
    <t>08/26/2026</t>
  </si>
  <si>
    <t>Minor credit for documented driver training and stable operations.</t>
  </si>
  <si>
    <t>Peachtree Risk Solutions</t>
  </si>
  <si>
    <t>PRS2844</t>
  </si>
  <si>
    <t>andrew.collins@peachtreerisk.com</t>
  </si>
  <si>
    <t>(404) 555-0159</t>
  </si>
  <si>
    <t>(404) 555-0190</t>
  </si>
  <si>
    <t>75 5th St NW</t>
  </si>
  <si>
    <t>Suite 430</t>
  </si>
  <si>
    <t>Spokane</t>
  </si>
  <si>
    <t>WA</t>
  </si>
  <si>
    <t>18%</t>
  </si>
  <si>
    <t>Southern Supply Chain Company</t>
  </si>
  <si>
    <t>Southern Supply Chain</t>
  </si>
  <si>
    <t>1500 Cobb Pkwy SE</t>
  </si>
  <si>
    <t>Charleston</t>
  </si>
  <si>
    <t>billing@southernsupplychain.com</t>
  </si>
  <si>
    <t>(404) 555-0118</t>
  </si>
  <si>
    <t>MC-885204</t>
  </si>
  <si>
    <t>61-4703829</t>
  </si>
  <si>
    <t>Ethan Collins</t>
  </si>
  <si>
    <t>dispatch@atlantichaulage.com</t>
  </si>
  <si>
    <t>(412) 555-0139</t>
  </si>
  <si>
    <t>Street / Description</t>
  </si>
  <si>
    <t>City</t>
  </si>
  <si>
    <t>ZIP</t>
  </si>
  <si>
    <t>Protection Class</t>
  </si>
  <si>
    <t>Theft Sublimit</t>
  </si>
  <si>
    <t>Coverage Form</t>
  </si>
  <si>
    <t>Inspection Fee</t>
  </si>
  <si>
    <t>Within 20mi of Coast?</t>
  </si>
  <si>
    <t>Coastal Distance</t>
  </si>
  <si>
    <t>NC Coastal</t>
  </si>
  <si>
    <t>Barrier Island?</t>
  </si>
  <si>
    <t>Exclude Wind/Hail Coverage?</t>
  </si>
  <si>
    <t xml:space="preserve">Percentage for TIV for Wind/Hail Deductible </t>
  </si>
  <si>
    <t>Hazardous Exposure?</t>
  </si>
  <si>
    <t>Hazard Description</t>
  </si>
  <si>
    <t>Notes</t>
  </si>
  <si>
    <t>1201 Main Street, Suite 300</t>
  </si>
  <si>
    <t>Aquasco</t>
  </si>
  <si>
    <t>Special Including Theft</t>
  </si>
  <si>
    <t>Within 1000 ft</t>
  </si>
  <si>
    <t>10.00%</t>
  </si>
  <si>
    <t>Urban office location; inland exposure.</t>
  </si>
  <si>
    <t>Basic</t>
  </si>
  <si>
    <t>3.00%</t>
  </si>
  <si>
    <t>High wind and storm surge exposure due to coastal proximity.</t>
  </si>
  <si>
    <t>Waterfront business district; elevated wind exposure.</t>
  </si>
  <si>
    <t>Broad</t>
  </si>
  <si>
    <t>Suburban office park location.</t>
  </si>
  <si>
    <t>1000 ft to 1 mile</t>
  </si>
  <si>
    <t>5.00%</t>
  </si>
  <si>
    <t>Central business district location; fire protection excellent.</t>
  </si>
  <si>
    <t>1.00%</t>
  </si>
  <si>
    <t>Inland office location.</t>
  </si>
  <si>
    <t>River-adjacent but not floodplain mapped.</t>
  </si>
  <si>
    <t>600 Broughton Street</t>
  </si>
  <si>
    <t>2.00%</t>
  </si>
  <si>
    <t>Hurricane and wind-driven rain exposure from coastal storms.</t>
  </si>
  <si>
    <t>Historic district; moderate coastal exposure.</t>
  </si>
  <si>
    <t>2500 Liberty Avenue</t>
  </si>
  <si>
    <t>Special Excluding Theft</t>
  </si>
  <si>
    <t>Urban inland location.</t>
  </si>
  <si>
    <t>44 Baltimore Street</t>
  </si>
  <si>
    <t>State capital office occupancy.</t>
  </si>
  <si>
    <t>1400 Granby Street</t>
  </si>
  <si>
    <t>Tidal flooding and elevated hurricane wind exposure.</t>
  </si>
  <si>
    <t>Coastal commercial corridor.</t>
  </si>
  <si>
    <t>501 Main Street</t>
  </si>
  <si>
    <t>Central business district location.</t>
  </si>
  <si>
    <t>300 King Street</t>
  </si>
  <si>
    <t>Washington</t>
  </si>
  <si>
    <t>Exposure to tropical storm wind and heavy rainfall.</t>
  </si>
  <si>
    <t>Mixed-use commercial area near riverfront.</t>
  </si>
  <si>
    <t>200 W Lombard Street</t>
  </si>
  <si>
    <t>Large urban downtown building.</t>
  </si>
  <si>
    <t>77 Capitol Trail</t>
  </si>
  <si>
    <t>Suburban office/retail location.</t>
  </si>
  <si>
    <t>Winston-Salem</t>
  </si>
  <si>
    <t>19 Market Street</t>
  </si>
  <si>
    <t>Downtown location with good municipal fire protection.</t>
  </si>
  <si>
    <t>4100 Pineville-Matthews Road</t>
  </si>
  <si>
    <t>Retail/office strip center.</t>
  </si>
  <si>
    <t>800 State Street</t>
  </si>
  <si>
    <t>Capital city office location.</t>
  </si>
  <si>
    <t>12 Boardwalk Plaza</t>
  </si>
  <si>
    <t>Direct coastal wind, salt air, and hurricane surge exposure.</t>
  </si>
  <si>
    <t>Seasonal beach-area commercial occupancy.</t>
  </si>
  <si>
    <t>Morgantown</t>
  </si>
  <si>
    <t>Hague</t>
  </si>
  <si>
    <t>Fredericksburg</t>
  </si>
  <si>
    <t>1000 Ocean Highway</t>
  </si>
  <si>
    <t>Potential windstorm exposure from coastal weather systems.</t>
  </si>
  <si>
    <t>Eastern shore location; near but not directly on coast.</t>
  </si>
  <si>
    <t>215 Riverfront Plaza</t>
  </si>
  <si>
    <t>Downtown office building near the Christina River.</t>
  </si>
  <si>
    <t>Aldie</t>
  </si>
  <si>
    <t>Amissville</t>
  </si>
  <si>
    <t>44 Lighthouse Avenue</t>
  </si>
  <si>
    <t>Arcola</t>
  </si>
  <si>
    <t>High wind, storm surge, and salt-air corrosion exposure.</t>
  </si>
  <si>
    <t>Seasonal retail occupancy near the beachfront.</t>
  </si>
  <si>
    <t>3900 Atlantic Avenue</t>
  </si>
  <si>
    <t>Manassas</t>
  </si>
  <si>
    <t>Direct coastal wind exposure and elevated hurricane risk.</t>
  </si>
  <si>
    <t>Mixed-use property located along the oceanfront corridor.</t>
  </si>
  <si>
    <t>17 Market Street</t>
  </si>
  <si>
    <t>Waterfront-adjacent professional office in historic district.</t>
  </si>
  <si>
    <t>601 Pennsylvania Avenue NW</t>
  </si>
  <si>
    <t>Central business district office tower.</t>
  </si>
  <si>
    <t>Hockessin</t>
  </si>
  <si>
    <t>Kirkwood</t>
  </si>
  <si>
    <t>Middletown</t>
  </si>
  <si>
    <t>Montchanin</t>
  </si>
  <si>
    <t>7800 S Crater Road</t>
  </si>
  <si>
    <t>Newark</t>
  </si>
  <si>
    <t>Exposure to rail traffic and nearby industrial operations.</t>
  </si>
  <si>
    <t>Warehouse and light assembly occupancy.</t>
  </si>
  <si>
    <t>1312 Eastern Avenue</t>
  </si>
  <si>
    <t>Bryans Road</t>
  </si>
  <si>
    <t>Urban fire exposure and proximity to waterfront weather systems.</t>
  </si>
  <si>
    <t>Rowhouse-converted commercial occupancy.</t>
  </si>
  <si>
    <t>Bryantown</t>
  </si>
  <si>
    <t>55 Main Street</t>
  </si>
  <si>
    <t>Small professional services office in downtown core.</t>
  </si>
  <si>
    <t>1101 Glenwood Avenue</t>
  </si>
  <si>
    <t>Interior metro office near major retail district.</t>
  </si>
  <si>
    <t>1-5mi</t>
  </si>
  <si>
    <t>&lt;=1mi</t>
  </si>
  <si>
    <t>&gt;5mi</t>
  </si>
  <si>
    <t>Street Address</t>
  </si>
  <si>
    <t>Loc #</t>
  </si>
  <si>
    <t>ZIP Code</t>
  </si>
  <si>
    <t>Suite/Unit/Floor</t>
  </si>
  <si>
    <t>Stories</t>
  </si>
  <si>
    <t>Sq Ft</t>
  </si>
  <si>
    <t>Year Built</t>
  </si>
  <si>
    <t>Construction</t>
  </si>
  <si>
    <t>Slate/Wood Shake Roof?</t>
  </si>
  <si>
    <t>Occupancy</t>
  </si>
  <si>
    <t>Building Value ($)</t>
  </si>
  <si>
    <t>Good Condition?</t>
  </si>
  <si>
    <t>Valuation</t>
  </si>
  <si>
    <t>Coinsurance</t>
  </si>
  <si>
    <t>Deductible</t>
  </si>
  <si>
    <t>Renters Ins?</t>
  </si>
  <si>
    <t>Cooking Equip?</t>
  </si>
  <si>
    <t>Grills?</t>
  </si>
  <si>
    <t>Is Risk Currently Uninsured?</t>
  </si>
  <si>
    <t>Risk New Purchase?</t>
  </si>
  <si>
    <t>No.of Days without Insurance</t>
  </si>
  <si>
    <t>Prior Carrier</t>
  </si>
  <si>
    <t>Prior Expiry Date</t>
  </si>
  <si>
    <t>Hydrant Dist.</t>
  </si>
  <si>
    <t>Dist. Unit</t>
  </si>
  <si>
    <t>Fire Dept</t>
  </si>
  <si>
    <t>Sprinkler?</t>
  </si>
  <si>
    <t>Central Alarm?</t>
  </si>
  <si>
    <t>Roof Updated Year</t>
  </si>
  <si>
    <t>Electrical Updated Year</t>
  </si>
  <si>
    <t>Plumbing Updated Year</t>
  </si>
  <si>
    <t>HVAC Updated Year</t>
  </si>
  <si>
    <t>Mfg Type (Manufacturer only)</t>
  </si>
  <si>
    <t>Antiques? (Retail only)</t>
  </si>
  <si>
    <t>Refrigeration? (Retail/Warehouse)</t>
  </si>
  <si>
    <t>Describe Occupancy (Other only)</t>
  </si>
  <si>
    <t>Rate As (Other only)</t>
  </si>
  <si>
    <t>3rd Floor</t>
  </si>
  <si>
    <t>Fire Resistive</t>
  </si>
  <si>
    <t>Vacant Residential (1180)</t>
  </si>
  <si>
    <t>$2100000</t>
  </si>
  <si>
    <t>Replacement Cost Value</t>
  </si>
  <si>
    <t>100%</t>
  </si>
  <si>
    <t xml:space="preserve">$10,000 </t>
  </si>
  <si>
    <t>Miles</t>
  </si>
  <si>
    <t>Volunteer</t>
  </si>
  <si>
    <t>Floor 1</t>
  </si>
  <si>
    <t>Frame</t>
  </si>
  <si>
    <t>$890000</t>
  </si>
  <si>
    <t>Lower Level</t>
  </si>
  <si>
    <t>$725000</t>
  </si>
  <si>
    <t>Actual Cash Value</t>
  </si>
  <si>
    <t>State Farm</t>
  </si>
  <si>
    <t>11/18/2025</t>
  </si>
  <si>
    <t>Suite 1</t>
  </si>
  <si>
    <t>$1320000</t>
  </si>
  <si>
    <t>Penthouse Level</t>
  </si>
  <si>
    <t>Joisted Masonry</t>
  </si>
  <si>
    <t>$1650000</t>
  </si>
  <si>
    <t>Liberty Mutual</t>
  </si>
  <si>
    <t>10/11/2025</t>
  </si>
  <si>
    <t>2nd Floor</t>
  </si>
  <si>
    <t>$980000</t>
  </si>
  <si>
    <t>80%</t>
  </si>
  <si>
    <t>Vacant Commercial (1180)</t>
  </si>
  <si>
    <t>Feet</t>
  </si>
  <si>
    <t>Paid</t>
  </si>
  <si>
    <t>02/26/2025</t>
  </si>
  <si>
    <t>4th Floor</t>
  </si>
  <si>
    <t>$4100000</t>
  </si>
  <si>
    <t>Progressive</t>
  </si>
  <si>
    <t>12/15/2025</t>
  </si>
  <si>
    <t>Warehouse B</t>
  </si>
  <si>
    <t>Masonry Non-Combustible</t>
  </si>
  <si>
    <t>$1950000</t>
  </si>
  <si>
    <t>Unit 12</t>
  </si>
  <si>
    <t>$2550000</t>
  </si>
  <si>
    <t>Suite 400</t>
  </si>
  <si>
    <t>$3850000</t>
  </si>
  <si>
    <t>Floor 4</t>
  </si>
  <si>
    <t>$1850000</t>
  </si>
  <si>
    <t>Suite 500</t>
  </si>
  <si>
    <t>$3090000</t>
  </si>
  <si>
    <t>12/26/2025</t>
  </si>
  <si>
    <t>05/06/2025</t>
  </si>
  <si>
    <t>n</t>
  </si>
  <si>
    <t>$975000</t>
  </si>
  <si>
    <t>Floor 2</t>
  </si>
  <si>
    <t>Basement Level</t>
  </si>
  <si>
    <t>$1580000</t>
  </si>
  <si>
    <t>Unit 200</t>
  </si>
  <si>
    <t>$495000</t>
  </si>
  <si>
    <t>Building D</t>
  </si>
  <si>
    <t>$2610000</t>
  </si>
  <si>
    <t>90%</t>
  </si>
  <si>
    <t>Floor 3</t>
  </si>
  <si>
    <t>Modified Fire Resistive</t>
  </si>
  <si>
    <t>$920000</t>
  </si>
  <si>
    <t>$3300000</t>
  </si>
  <si>
    <t>08/11/2025</t>
  </si>
  <si>
    <t>$4720000</t>
  </si>
  <si>
    <t>Vacant Commercial — Is the building 100% vacant?</t>
  </si>
  <si>
    <t>Vacant Commercial — How long has the building been vacant?</t>
  </si>
  <si>
    <t>Vacant Commercial — What was the prior occupancy?</t>
  </si>
  <si>
    <t>Vacant Commercial — Intended disposition:</t>
  </si>
  <si>
    <t>Vacant Commercial — Is the building secured (locked doors and windows)?</t>
  </si>
  <si>
    <t>Vacant Commercial — Is the building boarded up?</t>
  </si>
  <si>
    <t>Vacant Commercial — Is the building fenced?</t>
  </si>
  <si>
    <t>Vacant Commercial — Has the electricity been turned off?</t>
  </si>
  <si>
    <t>Vacant Commercial — Has the gas been turned off?</t>
  </si>
  <si>
    <t>Vacant Commercial — Has the water been turned off?</t>
  </si>
  <si>
    <t>Vacant Commercial — Has the plumbing been drained?</t>
  </si>
  <si>
    <t>Vacant Commercial — Are there any structural issues or damage?</t>
  </si>
  <si>
    <t>Vacant Commercial — Is the building undergoing renovation or demolition?</t>
  </si>
  <si>
    <t>Vacant Commercial — Was this a new purchase?</t>
  </si>
  <si>
    <t>Vacant Commercial — (If Yes to Q14) Date of purchase:</t>
  </si>
  <si>
    <t>Vacant Commercial — Is the building being actively shown / marketed?</t>
  </si>
  <si>
    <t>Vacant Commercial — Are there hazardous materials remaining from prior use?</t>
  </si>
  <si>
    <t>Vacant Commercial — Is there any active heating in the building?</t>
  </si>
  <si>
    <t>Vacant Residential — Is the building 100% vacant?</t>
  </si>
  <si>
    <t>Vacant Residential — How long has the building been vacant?</t>
  </si>
  <si>
    <t>Vacant Residential — What was the prior occupancy?</t>
  </si>
  <si>
    <t>Vacant Residential — Intended disposition:</t>
  </si>
  <si>
    <t>Vacant Residential — Is the building secured (locked doors and windows)?</t>
  </si>
  <si>
    <t>Vacant Residential — Is the building boarded up?</t>
  </si>
  <si>
    <t>Vacant Residential — Is the building fenced?</t>
  </si>
  <si>
    <t>Vacant Residential — Has the electricity been turned off?</t>
  </si>
  <si>
    <t>Vacant Residential — Has the gas been turned off?</t>
  </si>
  <si>
    <t>Vacant Residential — Has the water been turned off?</t>
  </si>
  <si>
    <t>Vacant Residential — Has the plumbing been drained?</t>
  </si>
  <si>
    <t>Vacant Residential — Are there any structural issues or damage?</t>
  </si>
  <si>
    <t>Vacant Residential — Is the building undergoing renovation or demolition?</t>
  </si>
  <si>
    <t>Vacant Residential — Was this a new purchase?</t>
  </si>
  <si>
    <t>Vacant Residential — (If Yes to Q14) Date of purchase:</t>
  </si>
  <si>
    <t>Vacant Residential — Is the building being actively shown / marketed?</t>
  </si>
  <si>
    <t>Vacant Residential — Is the property estate-owned or in probate?</t>
  </si>
  <si>
    <t>Vacant Residential — Is there any active heating in the building?</t>
  </si>
  <si>
    <t>Townhouse</t>
  </si>
  <si>
    <t>Rent</t>
  </si>
  <si>
    <t>09/15/2026</t>
  </si>
  <si>
    <t>Retail</t>
  </si>
  <si>
    <t>04/25/2026</t>
  </si>
  <si>
    <t>Office</t>
  </si>
  <si>
    <t>Buy</t>
  </si>
  <si>
    <t>Apartment</t>
  </si>
  <si>
    <t>Triplex</t>
  </si>
  <si>
    <t>Sell</t>
  </si>
  <si>
    <t>Single-family home</t>
  </si>
  <si>
    <t>Occupy</t>
  </si>
  <si>
    <t>Restaurant</t>
  </si>
  <si>
    <t>Awning Limit($)</t>
  </si>
  <si>
    <t>Awning Valuation</t>
  </si>
  <si>
    <t>Awning Coinsurance</t>
  </si>
  <si>
    <t>Sign Limit($)</t>
  </si>
  <si>
    <t>Sign Valuation</t>
  </si>
  <si>
    <t>Sign Coinsurance</t>
  </si>
  <si>
    <t>BI Limit ($)</t>
  </si>
  <si>
    <t>BI Valuation</t>
  </si>
  <si>
    <t>BPP Limit ($)</t>
  </si>
  <si>
    <t>BPP Valuation</t>
  </si>
  <si>
    <t>BPP Coinsurance</t>
  </si>
  <si>
    <t>Pump and Canopy Limit($)</t>
  </si>
  <si>
    <t>Pump and Canopy Valuation</t>
  </si>
  <si>
    <t>Pump and Canopy Coinsurance</t>
  </si>
  <si>
    <t>LOR Limit ($)</t>
  </si>
  <si>
    <t>LOR Valuation</t>
  </si>
  <si>
    <t>Renovation Limit($)</t>
  </si>
  <si>
    <t>Renaovation Valuation</t>
  </si>
  <si>
    <t>Renovation Coinsurance</t>
  </si>
  <si>
    <t>Will the building demolished?</t>
  </si>
  <si>
    <t>Building Plans</t>
  </si>
  <si>
    <t>Renovation Start Date</t>
  </si>
  <si>
    <t>Renovation End Date</t>
  </si>
  <si>
    <t>Spoilage Limit</t>
  </si>
  <si>
    <t>Spoilage Deductible($)</t>
  </si>
  <si>
    <t>Spoilage Contamination?</t>
  </si>
  <si>
    <t>Spoilage Power Outage?</t>
  </si>
  <si>
    <t>Refrigiration Maintainance Agreement</t>
  </si>
  <si>
    <t>Interior Upgrade</t>
  </si>
  <si>
    <t>11/12/2025</t>
  </si>
  <si>
    <t>$5,000</t>
  </si>
  <si>
    <t>Office Expansion</t>
  </si>
  <si>
    <t>$10,000</t>
  </si>
  <si>
    <t>Electrical Modernization</t>
  </si>
  <si>
    <t>Floor Renovation</t>
  </si>
  <si>
    <t>10/12/2025</t>
  </si>
  <si>
    <t>12/21/2025</t>
  </si>
  <si>
    <t>HVAC Upgrade</t>
  </si>
  <si>
    <t>10/22/2025</t>
  </si>
  <si>
    <t>Structural Repair</t>
  </si>
  <si>
    <t>10/24/2025</t>
  </si>
  <si>
    <t>Downtown mercantile location.</t>
  </si>
  <si>
    <t>Facade Improvement</t>
  </si>
  <si>
    <t>11/17/2025</t>
  </si>
  <si>
    <t>12/31/2025</t>
  </si>
  <si>
    <t>Roof Replacement</t>
  </si>
  <si>
    <t>11/13/2025</t>
  </si>
  <si>
    <t>12/16/2025</t>
  </si>
  <si>
    <t>11/10/2025</t>
  </si>
  <si>
    <t>11/28/2025</t>
  </si>
  <si>
    <t>10/29/2025</t>
  </si>
  <si>
    <t>12/17/2025</t>
  </si>
  <si>
    <t>11/11/2025</t>
  </si>
  <si>
    <t>Urban mercantile location near university corridor.</t>
  </si>
  <si>
    <t>Bldg #</t>
  </si>
  <si>
    <t>LP #</t>
  </si>
  <si>
    <t>Street 1</t>
  </si>
  <si>
    <t>Street 2</t>
  </si>
  <si>
    <t>Mortgagee?</t>
  </si>
  <si>
    <t>Loan Number</t>
  </si>
  <si>
    <t>Relationship</t>
  </si>
  <si>
    <t>Financial Interest?</t>
  </si>
  <si>
    <t>First National Mortgage Services</t>
  </si>
  <si>
    <t>1000 Market Street</t>
  </si>
  <si>
    <t>Suite 1200</t>
  </si>
  <si>
    <t>Alexandria</t>
  </si>
  <si>
    <t>LN-PA-001234</t>
  </si>
  <si>
    <t>Primary Mortgagee</t>
  </si>
  <si>
    <t>First mortgage holder for the main office building.</t>
  </si>
  <si>
    <t>Commonwealth Bank, N.A.</t>
  </si>
  <si>
    <t>200 Liberty Avenue</t>
  </si>
  <si>
    <t>5th Floor</t>
  </si>
  <si>
    <t>Baltimore</t>
  </si>
  <si>
    <t>LN-PA-001235</t>
  </si>
  <si>
    <t>Lender</t>
  </si>
  <si>
    <t>Second lienholder on equipment and improvements.</t>
  </si>
  <si>
    <t>Piedmont Commercial Bank</t>
  </si>
  <si>
    <t>200 Broad Street</t>
  </si>
  <si>
    <t>Floor 6</t>
  </si>
  <si>
    <t>LN-VA-008775</t>
  </si>
  <si>
    <t>Mortgagee</t>
  </si>
  <si>
    <t>Mortgagee on mixed office and storage building.</t>
  </si>
  <si>
    <t>Pennsylvania Community Bank</t>
  </si>
  <si>
    <t>500 Market Street</t>
  </si>
  <si>
    <t>LN-PA-007451</t>
  </si>
  <si>
    <t>First mortgage on renovated office/medical suite.</t>
  </si>
  <si>
    <t>Tar Heel Commercial Finance</t>
  </si>
  <si>
    <t>301 Fayetteville Street</t>
  </si>
  <si>
    <t>Suite 1600</t>
  </si>
  <si>
    <t>Harrisburg</t>
  </si>
  <si>
    <t>LN-NC-002980</t>
  </si>
  <si>
    <t>Mortgagee for warehouse and operations property.</t>
  </si>
  <si>
    <t>Old Dominion Bank</t>
  </si>
  <si>
    <t>901 Main Street</t>
  </si>
  <si>
    <t>LN-VA-012345</t>
  </si>
  <si>
    <t>First mortgage for professional office building.</t>
  </si>
  <si>
    <t>Ohio River Finance Company</t>
  </si>
  <si>
    <t>1000 5th Avenue</t>
  </si>
  <si>
    <t>Raleigh</t>
  </si>
  <si>
    <t>LN-WV-006601</t>
  </si>
  <si>
    <t>Additional Mortgagee</t>
  </si>
  <si>
    <t>Secondary mortgage holder for building and contents.</t>
  </si>
  <si>
    <t>Capital Lending Partners</t>
  </si>
  <si>
    <t>1200 19th Street NW</t>
  </si>
  <si>
    <t>Suite 350</t>
  </si>
  <si>
    <t>LN-DC-010210</t>
  </si>
  <si>
    <t>Mortgagee for suburban office location.</t>
  </si>
  <si>
    <t>Pittsburgh</t>
  </si>
  <si>
    <t>Delaware Valley Funding</t>
  </si>
  <si>
    <t>600 Chestnut Street</t>
  </si>
  <si>
    <t>Suite 800</t>
  </si>
  <si>
    <t>LN-PA-010001</t>
  </si>
  <si>
    <t>Primary lienholder for headquarters property.</t>
  </si>
  <si>
    <t>Chesapeake Capital Bank</t>
  </si>
  <si>
    <t>1 Light Street</t>
  </si>
  <si>
    <t>Suite 2100</t>
  </si>
  <si>
    <t>Dover</t>
  </si>
  <si>
    <t>LN-MD-006220</t>
  </si>
  <si>
    <t>Mortgagee for office condo unit.</t>
  </si>
  <si>
    <t>Monument Bank &amp; Trust</t>
  </si>
  <si>
    <t>1100 New Jersey Avenue SE</t>
  </si>
  <si>
    <t>Suite 700</t>
  </si>
  <si>
    <t>Rockville</t>
  </si>
  <si>
    <t>LN-DC-009113</t>
  </si>
  <si>
    <t>Additional Lender</t>
  </si>
  <si>
    <t>Secondary lender on tenant improvements.</t>
  </si>
  <si>
    <t>Allegheny Commercial Finance</t>
  </si>
  <si>
    <t>600 Grant Street</t>
  </si>
  <si>
    <t>LN-PA-013888</t>
  </si>
  <si>
    <t>Mortgagee on storage and distribution property.</t>
  </si>
  <si>
    <t>Piedmont Equipment Finance Corporation</t>
  </si>
  <si>
    <t>1200 Tryon Street</t>
  </si>
  <si>
    <t>Floor 9</t>
  </si>
  <si>
    <t>LN-NC-022908</t>
  </si>
  <si>
    <t>Mortgagee on business personal property financed through equipment loan.</t>
  </si>
  <si>
    <t>Harbor State Savings Association</t>
  </si>
  <si>
    <t>85 Light Street</t>
  </si>
  <si>
    <t>Suite 1500</t>
  </si>
  <si>
    <t>LN-MD-023117</t>
  </si>
  <si>
    <t>Secondary mortgagee listed for office condominium interest.</t>
  </si>
  <si>
    <t>Allegheny Title &amp; Trust Company</t>
  </si>
  <si>
    <t>210 Fifth Avenue</t>
  </si>
  <si>
    <t>Suite 1800</t>
  </si>
  <si>
    <t>LN-PA-024663</t>
  </si>
  <si>
    <t>Loss payee for building improvements and tenant finish work.</t>
  </si>
  <si>
    <t>Keystone Commercial Funding, LLC</t>
  </si>
  <si>
    <t>2750 Market Street</t>
  </si>
  <si>
    <t>LN-PA-020781</t>
  </si>
  <si>
    <t>Primary lender on mixed-use commercial property; first lien position.</t>
  </si>
  <si>
    <t>Capital Regional Bank</t>
  </si>
  <si>
    <t>4101 Wilson Boulevard</t>
  </si>
  <si>
    <t>LN-VA-021564</t>
  </si>
  <si>
    <t>Loss Payee</t>
  </si>
  <si>
    <t>Scheduled as loss payee for leased office equipment and fixtures.</t>
  </si>
  <si>
    <t>Monongahela Commercial Bank</t>
  </si>
  <si>
    <t>700 Grant Street</t>
  </si>
  <si>
    <t>Suite 120</t>
  </si>
  <si>
    <t>LN-PA-025440</t>
  </si>
  <si>
    <t>Primary mortgagee on warehouse property with long-term amortization.</t>
  </si>
  <si>
    <t>Blue Ridge Capital Partners</t>
  </si>
  <si>
    <t>1600 Broadway</t>
  </si>
  <si>
    <t>LN-NC-026389</t>
  </si>
  <si>
    <t>Loss payee tied to financed restaurant improvements and equipment.</t>
  </si>
  <si>
    <t>Charlotte</t>
  </si>
  <si>
    <t>Annapolis</t>
  </si>
  <si>
    <t>Any Losses in the Past 3 Years?</t>
  </si>
  <si>
    <t>Any unrepaired damage from prior losses?</t>
  </si>
  <si>
    <t>Loss Date</t>
  </si>
  <si>
    <t>Type of Loss</t>
  </si>
  <si>
    <t>Description</t>
  </si>
  <si>
    <t>Amount Paid ()</t>
  </si>
  <si>
    <t>Amount Outstanding ()</t>
  </si>
  <si>
    <t>Amount</t>
  </si>
  <si>
    <t>Would you like to add extra subjectivities to the application?</t>
  </si>
  <si>
    <t>Subjectivity Text</t>
  </si>
  <si>
    <t>Water</t>
  </si>
  <si>
    <t>Pipe burst on the third floor causing damage to drywall, flooring, and inventory. Mitigation was completed promptly.</t>
  </si>
  <si>
    <t>Provide signed disaster recovery plan</t>
  </si>
  <si>
    <t>Complete roof condition assessment within 60 days</t>
  </si>
  <si>
    <t>Wind</t>
  </si>
  <si>
    <t>Graffiti and broken windows were discovered during morning opening; repairs completed same week.</t>
  </si>
  <si>
    <t>Fire</t>
  </si>
  <si>
    <t>Compressor failure caused spoilage of refrigerated stock and repair of electrical controls.</t>
  </si>
  <si>
    <t>Sprinkler head malfunction led to localized water damage in storage area and contents loss.</t>
  </si>
  <si>
    <t>Small electrical fire in server room caused smoke damage and required equipment replacement.</t>
  </si>
  <si>
    <t>Wind-driven rain entered through damaged flashing and affected interior walls and ceiling tiles.</t>
  </si>
  <si>
    <t>Small electrical fire in the storage room damaged shelving, wiring, and smoke-impacted contents.</t>
  </si>
  <si>
    <t>10/13/2023</t>
  </si>
  <si>
    <t>Severe hailstorm caused roof shingle damage and several broken skylight panes; temporary dry-in completed.</t>
  </si>
  <si>
    <t>Submit current property valuation report</t>
  </si>
  <si>
    <t>Tags and broken exterior glass required cleanup and storefront repairs after weekend vandalism.</t>
  </si>
  <si>
    <t>Provide flood mitigation measures documentation</t>
  </si>
  <si>
    <t>Graffiti and broken exterior lighting were discovered on the west side of the building after a weekend incident.</t>
  </si>
  <si>
    <t>Customer slip-and-fall claim in the lobby was settled in part, with medical and legal expenses still being reviewed.</t>
  </si>
  <si>
    <t>Hail impact caused damage to rooftop HVAC units and several window screens, requiring replacement parts.</t>
  </si>
  <si>
    <t>Alleged premises liability claim involving a visitor trip in the parking lot; claim remains partially open.</t>
  </si>
  <si>
    <t>Theft</t>
  </si>
  <si>
    <t>A burst supply line in the restroom caused ceiling staining and flooring repairs; mitigation services were required.</t>
  </si>
  <si>
    <t>12/12/2025</t>
  </si>
  <si>
    <t>Update sprinkler system certification documents</t>
  </si>
  <si>
    <t>Water intrusion from a failed condensate drain damaged ceiling tiles and drywall in the rear office area.</t>
  </si>
  <si>
    <t>11/17/2023</t>
  </si>
  <si>
    <t>Cooking-related fire in a tenant break area caused smoke damage and minor reconstruction work.</t>
  </si>
  <si>
    <t>Burglary loss involved stolen computer monitors and cash drawer contents from the front counter.</t>
  </si>
  <si>
    <t>Limit Option</t>
  </si>
  <si>
    <t>Years of Experience</t>
  </si>
  <si>
    <t>Square feet of building</t>
  </si>
  <si>
    <t>Class Code</t>
  </si>
  <si>
    <t>No.Of Acres</t>
  </si>
  <si>
    <t>300000/600000</t>
  </si>
  <si>
    <t>100000/200000</t>
  </si>
  <si>
    <t>1000000/2000000</t>
  </si>
  <si>
    <t xml:space="preserve">Is the building secured from unauthorized entry? </t>
  </si>
  <si>
    <t xml:space="preserve">Is the building completely vacant? </t>
  </si>
  <si>
    <t xml:space="preserve">Will the building be scheduled to be demolished during our policy term? </t>
  </si>
  <si>
    <t xml:space="preserve">Is the building currently damaged (fire or otherwise)? </t>
  </si>
  <si>
    <t xml:space="preserve">What is the total cost of renovation? </t>
  </si>
  <si>
    <t>AI Form</t>
  </si>
  <si>
    <t>AI Name</t>
  </si>
  <si>
    <t>cg2002</t>
  </si>
  <si>
    <t>Commonwealth Risk Advisors, LLC</t>
  </si>
  <si>
    <t>1201 Main Street</t>
  </si>
  <si>
    <t>cg2004</t>
  </si>
  <si>
    <t>Blue Ridge Office Services, LLC</t>
  </si>
  <si>
    <t>4500 Commerce Parkway</t>
  </si>
  <si>
    <t>Building B</t>
  </si>
  <si>
    <t>cg2010</t>
  </si>
  <si>
    <t>Harbor View Consulting Inc.</t>
  </si>
  <si>
    <t>445 Harbor Road</t>
  </si>
  <si>
    <t>cg2011</t>
  </si>
  <si>
    <t>Baltimore Waterfront Properties, LLC</t>
  </si>
  <si>
    <t>100 Light Street</t>
  </si>
  <si>
    <t>cg2012</t>
  </si>
  <si>
    <t>Monument Hospitality Group, LLC</t>
  </si>
  <si>
    <t>900 K Street NW</t>
  </si>
  <si>
    <t>cg2013</t>
  </si>
  <si>
    <t>District Insurance Partners</t>
  </si>
  <si>
    <t>101 Constitution Avenue NW</t>
  </si>
  <si>
    <t>cg2017</t>
  </si>
  <si>
    <t>Greenfield Dental Practice, P.C.</t>
  </si>
  <si>
    <t>220 Market Street</t>
  </si>
  <si>
    <t>cg2020</t>
  </si>
  <si>
    <t>Piedmont Retail Center, LLC</t>
  </si>
  <si>
    <t>7800 Rea Road</t>
  </si>
  <si>
    <t>cg2023</t>
  </si>
  <si>
    <t>Market Street Holdings, LLC</t>
  </si>
  <si>
    <t>Allegheny Property Management, Inc.</t>
  </si>
  <si>
    <t>Suite 1400</t>
  </si>
  <si>
    <t>Norfolk</t>
  </si>
  <si>
    <t>cg2018</t>
  </si>
  <si>
    <t>Capitol Commerce Center, LLC</t>
  </si>
  <si>
    <t>88 Capitol Street</t>
  </si>
  <si>
    <t>Bayfront Marketing Group, LLC</t>
  </si>
  <si>
    <t>3100 Atlantic Avenue</t>
  </si>
  <si>
    <t>Suite 101</t>
  </si>
  <si>
    <t>cg2026</t>
  </si>
  <si>
    <t>Keystone Office Interiors, Inc.</t>
  </si>
  <si>
    <t>1500 Walnut Street</t>
  </si>
  <si>
    <t>cg2027</t>
  </si>
  <si>
    <t>Riverwalk Development Partners, LP</t>
  </si>
  <si>
    <t>200 Main Street</t>
  </si>
  <si>
    <t>cg2029</t>
  </si>
  <si>
    <t>Capital Plaza Associates, LLC</t>
  </si>
  <si>
    <t>2500 Wilson Boulevard</t>
  </si>
  <si>
    <t>cg2033</t>
  </si>
  <si>
    <t>Riverview Office Park, LLC</t>
  </si>
  <si>
    <t>7800 River Road</t>
  </si>
  <si>
    <t>Suite 225</t>
  </si>
  <si>
    <t>Crescent Hospitality Services, LLC</t>
  </si>
  <si>
    <t>700 Canal Street</t>
  </si>
  <si>
    <t>Harbor Point Logistics, LLC</t>
  </si>
  <si>
    <t>1 Commerce Drive</t>
  </si>
  <si>
    <t>Building 4</t>
  </si>
  <si>
    <t>Gateway Commerce Center</t>
  </si>
  <si>
    <t>1550 North Charles Street</t>
  </si>
  <si>
    <t>Monroe Station Retail Center</t>
  </si>
  <si>
    <t>44 Market Plaza</t>
  </si>
  <si>
    <t>Potomac Development Group, Inc.</t>
  </si>
  <si>
    <t>3150 Clarendon Boulevard</t>
  </si>
  <si>
    <t>Fairfax Plaza Associates</t>
  </si>
  <si>
    <t>12000 Market Street</t>
  </si>
  <si>
    <t>Keystone Urban Holdings, LLC</t>
  </si>
  <si>
    <t>225 Pine Street</t>
  </si>
  <si>
    <t>Crescent Harbor Properties, LLC</t>
  </si>
  <si>
    <t>910 Light Street</t>
  </si>
  <si>
    <t>Rockville Executive Center</t>
  </si>
  <si>
    <t>1800 Rockville Pike</t>
  </si>
  <si>
    <t>Suite 650</t>
  </si>
  <si>
    <t>Harborview Business Plaza</t>
  </si>
  <si>
    <t>300 East Pratt Street</t>
  </si>
  <si>
    <t>Summit Ridge Commercial Properties, LLC</t>
  </si>
  <si>
    <t>1001 King Street</t>
  </si>
  <si>
    <t>Liberty Commerce Associates</t>
  </si>
  <si>
    <t>Northgate Property Investors, LLC</t>
  </si>
  <si>
    <t>4200 Wilson Boulevard</t>
  </si>
  <si>
    <t>Suite 260</t>
  </si>
  <si>
    <t>Twin Oaks Business Park</t>
  </si>
  <si>
    <t>2500 Prince George's Boulevard</t>
  </si>
  <si>
    <t>Suite 110</t>
  </si>
  <si>
    <t>Monument Street Office Investors, LLC</t>
  </si>
  <si>
    <t>1100 17th Street NW</t>
  </si>
  <si>
    <t>Chesapeake Gateway Properties</t>
  </si>
  <si>
    <t>6200 Falls Road</t>
  </si>
  <si>
    <t>Fairview Business Commons, LLC</t>
  </si>
  <si>
    <t>5100 Leesburg Pike</t>
  </si>
  <si>
    <t>Suite 1100</t>
  </si>
  <si>
    <t>Has applicant ever operated under a different name?</t>
  </si>
  <si>
    <t>Does applicant have other carrier operations?</t>
  </si>
  <si>
    <t>Describe other operations</t>
  </si>
  <si>
    <t>Does insured subcontract to other parties?</t>
  </si>
  <si>
    <t>Subcontracting basis</t>
  </si>
  <si>
    <t>Describe other subcontracting basis</t>
  </si>
  <si>
    <t>Subcontractors responsible for cargo loss?</t>
  </si>
  <si>
    <t>Maintains copies of subcontractor insurance?</t>
  </si>
  <si>
    <t>Is the owner also listed as a driver?</t>
  </si>
  <si>
    <t>Has insured had coverage in the last 3 years?</t>
  </si>
  <si>
    <t>Insurance placed through Commonwealth Underwriters?</t>
  </si>
  <si>
    <t>Any insurer canceled / non-renewed in last 3 years?</t>
  </si>
  <si>
    <t>Details for reasons of non-renewal</t>
  </si>
  <si>
    <t>Prior carrier information known?</t>
  </si>
  <si>
    <t>Prior carrier name</t>
  </si>
  <si>
    <t>Prior perils form</t>
  </si>
  <si>
    <t>Prior policy premium ($)</t>
  </si>
  <si>
    <t>Prior policy deductible ($)</t>
  </si>
  <si>
    <t>Prior policy limit ($)</t>
  </si>
  <si>
    <t>Prior policy expiration date</t>
  </si>
  <si>
    <t>Was a renewal offer made?</t>
  </si>
  <si>
    <t>Consecutive coverage &gt;= 12 months?</t>
  </si>
  <si>
    <t>Years of experience in same type of work</t>
  </si>
  <si>
    <t>Prior employment information known?</t>
  </si>
  <si>
    <t>Vehicles rented for each job?</t>
  </si>
  <si>
    <t>Does insured lease / loan / rent equipment to others?</t>
  </si>
  <si>
    <t>All vehicles titled under named insured?</t>
  </si>
  <si>
    <t>Steps taken to secure vehicles</t>
  </si>
  <si>
    <t>Owns equipment other than vehicles listed?</t>
  </si>
  <si>
    <t>Reasons for not requesting Insurance (PhysDam Only)</t>
  </si>
  <si>
    <t>Any vehicles driven by an owner? (PhysDam Only)</t>
  </si>
  <si>
    <t>Equipment regularly inspected and serviced? (PhysDam Only)</t>
  </si>
  <si>
    <t>Interval (PhysDam Only)</t>
  </si>
  <si>
    <t>Gross Vehicle Weight of any Unit greater than 26,000 lbs?</t>
  </si>
  <si>
    <t>Any drivers have less than 2 years with a Commercial Driver's License Class A (CDL-A)</t>
  </si>
  <si>
    <t>Employer Name</t>
  </si>
  <si>
    <t>Phone</t>
  </si>
  <si>
    <t>Address</t>
  </si>
  <si>
    <t>Start Date</t>
  </si>
  <si>
    <t>End Date</t>
  </si>
  <si>
    <t>Unit Type Operated</t>
  </si>
  <si>
    <t>Commodities Hauled</t>
  </si>
  <si>
    <t>Radius</t>
  </si>
  <si>
    <t>Object to Verification?</t>
  </si>
  <si>
    <t>Long Lease</t>
  </si>
  <si>
    <t>Atlantic Freight Insurance Co.</t>
  </si>
  <si>
    <t>Broad Form</t>
  </si>
  <si>
    <t>$18400</t>
  </si>
  <si>
    <t>$1000</t>
  </si>
  <si>
    <t>$750000</t>
  </si>
  <si>
    <t>07/17/2026</t>
  </si>
  <si>
    <t>GPS tracking, locked yard, driver key control, and after-hours gate access.</t>
  </si>
  <si>
    <t>Covered under separate inland marine policy</t>
  </si>
  <si>
    <t>Daily</t>
  </si>
  <si>
    <t>4550 Commerce Pkwy, Providence, RI 02903</t>
  </si>
  <si>
    <t>08/08/2027</t>
  </si>
  <si>
    <t>Straight Truck</t>
  </si>
  <si>
    <t>Packaged consumer goods</t>
  </si>
  <si>
    <t>0-100 Miles</t>
  </si>
  <si>
    <t>Brokered expedited freight coordination through a related logistics entity.</t>
  </si>
  <si>
    <t>Subcontracts refrigerated overflow routes to approved motor carriers.</t>
  </si>
  <si>
    <t>Mid-Atlantic Cargo Underwriters</t>
  </si>
  <si>
    <t>Broad Form incl. Reefer Breakdown</t>
  </si>
  <si>
    <t>$22950</t>
  </si>
  <si>
    <t>$2500</t>
  </si>
  <si>
    <t>$1000000</t>
  </si>
  <si>
    <t>07/07/2026</t>
  </si>
  <si>
    <t>Telematics, fenced lot, ignition key cabinet, and driver check-in procedures.</t>
  </si>
  <si>
    <t>Monthly</t>
  </si>
  <si>
    <t>8700 Pulaski Hwy, Rapid City, SD 57701</t>
  </si>
  <si>
    <t>07/12/2027</t>
  </si>
  <si>
    <t>Tractor</t>
  </si>
  <si>
    <t>Refrigerated groceries and dairy</t>
  </si>
  <si>
    <t>100-500 Miles</t>
  </si>
  <si>
    <t>Nightly yard lockup, steering wheel locks on high-value units, and dispatch sign-out logs.</t>
  </si>
  <si>
    <t>925 H St NE, Pierre, SD 57501</t>
  </si>
  <si>
    <t>Van</t>
  </si>
  <si>
    <t>Time-sensitive small parcels</t>
  </si>
  <si>
    <t>Over 500 Miles</t>
  </si>
  <si>
    <t>Yearly</t>
  </si>
  <si>
    <t>Green Valley Distribution</t>
  </si>
  <si>
    <t>(505) 555-0193</t>
  </si>
  <si>
    <t>2200 Coors Blvd NW, Albuquerque, NM 87120</t>
  </si>
  <si>
    <t>09/01/2026</t>
  </si>
  <si>
    <t>09/01/2027</t>
  </si>
  <si>
    <t>Cartons, paper rolls, and packaging supplies</t>
  </si>
  <si>
    <t>Lone Star Home Delivery</t>
  </si>
  <si>
    <t>(214) 555-0167</t>
  </si>
  <si>
    <t>7700 N Stemmons Fwy, Dallas, TX 75247</t>
  </si>
  <si>
    <t>09/05/2026</t>
  </si>
  <si>
    <t>09/05/2027</t>
  </si>
  <si>
    <t>Box Truck</t>
  </si>
  <si>
    <t>Residential furniture and fixtures</t>
  </si>
  <si>
    <t>Cascadia Produce Express</t>
  </si>
  <si>
    <t>(503) 555-0142</t>
  </si>
  <si>
    <t>9800 NE Airport Way, Portland, OR 97220</t>
  </si>
  <si>
    <t>09/10/2026</t>
  </si>
  <si>
    <t>09/10/2027</t>
  </si>
  <si>
    <t>Reefer Truck</t>
  </si>
  <si>
    <t>Fresh produce and grocery items</t>
  </si>
  <si>
    <t>Operates a small warehousing division that handles cross-dock services for dedicated customers.</t>
  </si>
  <si>
    <t>Keystone Motor &amp; Cargo Co.</t>
  </si>
  <si>
    <t>Named Peril Form</t>
  </si>
  <si>
    <t>$31200</t>
  </si>
  <si>
    <t>$5000</t>
  </si>
  <si>
    <t>$1500000</t>
  </si>
  <si>
    <t>07/16/2026</t>
  </si>
  <si>
    <t>Fenced yard, alarm monitoring, GPS units, and daily fleet inspections.</t>
  </si>
  <si>
    <t>3100 Grant Ave, Houston, TX 77002</t>
  </si>
  <si>
    <t>08/25/2027</t>
  </si>
  <si>
    <t>Retail distribution freight</t>
  </si>
  <si>
    <t>Occasionally uses owner-operators for temperature-controlled overflow deliveries.</t>
  </si>
  <si>
    <t>Carolina Transportation Insurance Group</t>
  </si>
  <si>
    <t>Named Peril Form incl. Reefer Breakdown</t>
  </si>
  <si>
    <t>$19875</t>
  </si>
  <si>
    <t>08/03/2026</t>
  </si>
  <si>
    <t>Secure yard fencing, motion lights, GPS tracking, and driver lockbox procedures.</t>
  </si>
  <si>
    <t>7400 Westgate Rd, Provo, UT 84601</t>
  </si>
  <si>
    <t>08/21/2027</t>
  </si>
  <si>
    <t>Frozen foods and produce</t>
  </si>
  <si>
    <t>Mountain State Commercial Insurance</t>
  </si>
  <si>
    <t>$11200</t>
  </si>
  <si>
    <t>$500000</t>
  </si>
  <si>
    <t>07/13/2026</t>
  </si>
  <si>
    <t>Locked indoor bay, keypad access, overnight alarm system, and ignition key control.</t>
  </si>
  <si>
    <t>No other owned equipment reported</t>
  </si>
  <si>
    <t>1900 MacCorkle Ave SE, Ogden, UT 84401</t>
  </si>
  <si>
    <t>08/14/2027</t>
  </si>
  <si>
    <t>Flatbed</t>
  </si>
  <si>
    <t>Lumber and construction supplies</t>
  </si>
  <si>
    <t>Owns a small freight brokerage and a separate last-mile courier division.</t>
  </si>
  <si>
    <t>Atlantic Coast Freight Insurance</t>
  </si>
  <si>
    <t>$40500</t>
  </si>
  <si>
    <t>$2000000</t>
  </si>
  <si>
    <t>07/15/2026</t>
  </si>
  <si>
    <t>GPS on all units, fenced parking, subcontractor vetting, and photo-documented dispatch releases.</t>
  </si>
  <si>
    <t>Metro Beverage Transport</t>
  </si>
  <si>
    <t>(312) 555-0184</t>
  </si>
  <si>
    <t>1550 W Lake St, Chicago, IL 60607</t>
  </si>
  <si>
    <t>08/20/2026</t>
  </si>
  <si>
    <t>08/20/2027</t>
  </si>
  <si>
    <t>Wine, craft beer, and non-alcoholic beverages</t>
  </si>
  <si>
    <t>Basic lot lighting, wheel chocks, and nightly driver check-out of keys.</t>
  </si>
  <si>
    <t>Mid-State Heavy Haul</t>
  </si>
  <si>
    <t>(615) 555-0148</t>
  </si>
  <si>
    <t>8800 Centennial Blvd, Nashville, TN 37209</t>
  </si>
  <si>
    <t>08/18/2026</t>
  </si>
  <si>
    <t>08/18/2027</t>
  </si>
  <si>
    <t>Industrial machinery and oversized equipment</t>
  </si>
  <si>
    <t>Limited use of subcontracted owner-operators for regional lanes.</t>
  </si>
  <si>
    <t>Eastern Regional Cargo Insurers</t>
  </si>
  <si>
    <t>$16750</t>
  </si>
  <si>
    <t>GPS tracking, secured yard, daily inspection logs, and secure parking agreements.</t>
  </si>
  <si>
    <t>No additional equipment owned</t>
  </si>
  <si>
    <t>Precision Tech Logistics</t>
  </si>
  <si>
    <t>(602) 555-0137</t>
  </si>
  <si>
    <t>4100 S 38th St, Phoenix, AZ 85040</t>
  </si>
  <si>
    <t>08/30/2026</t>
  </si>
  <si>
    <t>08/30/2027</t>
  </si>
  <si>
    <t>Consumer electronics and accessories</t>
  </si>
  <si>
    <t>Operates a dedicated warehousing and transload service for its own cargo customers.</t>
  </si>
  <si>
    <t>Excessive claims history during the policy term.</t>
  </si>
  <si>
    <t>Northeast Logistics Mutual</t>
  </si>
  <si>
    <t>$28600</t>
  </si>
  <si>
    <t>08/07/2026</t>
  </si>
  <si>
    <t>Monitored yard, engine immobilizers, access cards, and daily trailer seal checks.</t>
  </si>
  <si>
    <t>Owner Name (Cargo Only)</t>
  </si>
  <si>
    <t>#</t>
  </si>
  <si>
    <t>Driver Name</t>
  </si>
  <si>
    <t>Date of Birth</t>
  </si>
  <si>
    <t>License Number</t>
  </si>
  <si>
    <t>License State</t>
  </si>
  <si>
    <t>Date of Hire</t>
  </si>
  <si>
    <t>Violation History Known?</t>
  </si>
  <si>
    <t>Major Violations Count</t>
  </si>
  <si>
    <t>Minor Violations Count</t>
  </si>
  <si>
    <t>At-Fault Accidents Count</t>
  </si>
  <si>
    <t>Steps taken in employing new drivers</t>
  </si>
  <si>
    <t>Grounds for firing a driver?</t>
  </si>
  <si>
    <t>Caleb Foster</t>
  </si>
  <si>
    <t>Michael Carter</t>
  </si>
  <si>
    <t>04/12/1982</t>
  </si>
  <si>
    <t>VA7429183</t>
  </si>
  <si>
    <t>08/15/2021</t>
  </si>
  <si>
    <t>Owner</t>
  </si>
  <si>
    <t>Primary owner-driver; clean record with one minor speeding citation in 2023.</t>
  </si>
  <si>
    <t>Application review, license verification, background check, road test</t>
  </si>
  <si>
    <t>Repeated safety violations</t>
  </si>
  <si>
    <t>Temporary Driver</t>
  </si>
  <si>
    <t>Employment application, MVR review, drug screening, orientation</t>
  </si>
  <si>
    <t>Failed drug or alcohol test</t>
  </si>
  <si>
    <t>Resume screening, CDL verification, reference check, training</t>
  </si>
  <si>
    <t>Preventable major accidents</t>
  </si>
  <si>
    <t>Employee</t>
  </si>
  <si>
    <t>Driver application, safety record review, road evaluation</t>
  </si>
  <si>
    <t>Falsification of company records</t>
  </si>
  <si>
    <t>Relative</t>
  </si>
  <si>
    <t>License validation, employment history check, onboarding training</t>
  </si>
  <si>
    <t>Loss or suspension of CDL license</t>
  </si>
  <si>
    <t>Application review, background screening, DOT compliance check</t>
  </si>
  <si>
    <t>Chronic absenteeism</t>
  </si>
  <si>
    <t>CDL verification, pre-employment drug test, safety orientation</t>
  </si>
  <si>
    <t>Violation of company safety policies</t>
  </si>
  <si>
    <t>Reference verification, driving record review, skills assessment</t>
  </si>
  <si>
    <t>Theft or misconduct</t>
  </si>
  <si>
    <t>Employment screening, road test, policy training</t>
  </si>
  <si>
    <t>Poor performance and non-compliance</t>
  </si>
  <si>
    <t>Lillian Hayes</t>
  </si>
  <si>
    <t>Rebecca Flores</t>
  </si>
  <si>
    <t>02/01/1979</t>
  </si>
  <si>
    <t>NM6154082</t>
  </si>
  <si>
    <t>07/15/2018</t>
  </si>
  <si>
    <t>Two minor citations for equipment-related issues; no accidents reported.</t>
  </si>
  <si>
    <t>Owen Jenkins</t>
  </si>
  <si>
    <t>09/12/1986</t>
  </si>
  <si>
    <t>SC1926047</t>
  </si>
  <si>
    <t>01/15/2021</t>
  </si>
  <si>
    <t>Driver started in current role recently; violation history pending verification.</t>
  </si>
  <si>
    <t>Hannah Lawson</t>
  </si>
  <si>
    <t>05/03/1995</t>
  </si>
  <si>
    <t>VA7481205</t>
  </si>
  <si>
    <t>06/30/2024</t>
  </si>
  <si>
    <t>One minor citation for improper turn; no major violations or accidents.</t>
  </si>
  <si>
    <t>Ethan Cooper</t>
  </si>
  <si>
    <t>03/05/1973</t>
  </si>
  <si>
    <t>MN9352740</t>
  </si>
  <si>
    <t>08/01/2016</t>
  </si>
  <si>
    <t>Seasoned driver with three historical at-fault collisions, all prior to current employment.</t>
  </si>
  <si>
    <t>Derek Nguyen</t>
  </si>
  <si>
    <t>David Nguyen</t>
  </si>
  <si>
    <t>11/23/1990</t>
  </si>
  <si>
    <t>DC8842017</t>
  </si>
  <si>
    <t>04/08/2023</t>
  </si>
  <si>
    <t>Newly added city courier driver; prior MVR unavailable at submission.</t>
  </si>
  <si>
    <t>Alicia Johnson</t>
  </si>
  <si>
    <t>Susan Thompson</t>
  </si>
  <si>
    <t>02/15/1976</t>
  </si>
  <si>
    <t>PA4039175</t>
  </si>
  <si>
    <t>01/11/2019</t>
  </si>
  <si>
    <t>Long-tenured fleet driver; one minor equipment-related citation in the last five years.</t>
  </si>
  <si>
    <t>Marcus Bell</t>
  </si>
  <si>
    <t>Robert Ellis</t>
  </si>
  <si>
    <t>07/08/1984</t>
  </si>
  <si>
    <t>NC6271549</t>
  </si>
  <si>
    <t>09/01/2022</t>
  </si>
  <si>
    <t>Owner-driver with one prior major violation (improper lane change) and one at-fault accident.</t>
  </si>
  <si>
    <t>Tiffany Brooks</t>
  </si>
  <si>
    <t>Karen Brooks</t>
  </si>
  <si>
    <t>12/31/1968</t>
  </si>
  <si>
    <t>WV3059184</t>
  </si>
  <si>
    <t>03/15/2018</t>
  </si>
  <si>
    <t>Local delivery driver with multiple minor speeding events; no major violations.</t>
  </si>
  <si>
    <t>Jordan Price</t>
  </si>
  <si>
    <t>Jason Miller</t>
  </si>
  <si>
    <t>06/07/1987</t>
  </si>
  <si>
    <t>VA9512468</t>
  </si>
  <si>
    <t>05/22/2024</t>
  </si>
  <si>
    <t>Recently hired after seasonal work; one minor violation from 2021 confirmed on MVR.</t>
  </si>
  <si>
    <t>Samantha Reed</t>
  </si>
  <si>
    <t>Patricia Gomez</t>
  </si>
  <si>
    <t>03/02/1979</t>
  </si>
  <si>
    <t>MD7108426</t>
  </si>
  <si>
    <t>10/10/2017</t>
  </si>
  <si>
    <t>High-mileage driver; two low-speed at-fault incidents in yard and dock areas.</t>
  </si>
  <si>
    <t>Luis Hernandez</t>
  </si>
  <si>
    <t>Christopher Reed</t>
  </si>
  <si>
    <t>08/28/1991</t>
  </si>
  <si>
    <t>DC2569081</t>
  </si>
  <si>
    <t>07/01/2025</t>
  </si>
  <si>
    <t>Probationary hire; MVR pending due to recent move between states.</t>
  </si>
  <si>
    <t>Dylan Carter</t>
  </si>
  <si>
    <t>06/29/1993</t>
  </si>
  <si>
    <t>MI8471506</t>
  </si>
  <si>
    <t>04/03/2025</t>
  </si>
  <si>
    <t>New hire with one disclosed at-fault accident from a prior employer.</t>
  </si>
  <si>
    <t>Chloe Ward</t>
  </si>
  <si>
    <t>Natalie Turner</t>
  </si>
  <si>
    <t>12/27/1989</t>
  </si>
  <si>
    <t>OK5601834</t>
  </si>
  <si>
    <t>09/22/2022</t>
  </si>
  <si>
    <t>Four minor moving violations disclosed; no at-fault accidents.</t>
  </si>
  <si>
    <t>Vehicle Coverage (Cargo/PhysDam/Both)</t>
  </si>
  <si>
    <t>Vehicle Year</t>
  </si>
  <si>
    <t>Vehicle Make</t>
  </si>
  <si>
    <t>Vehicle Type</t>
  </si>
  <si>
    <t>VIN Known?</t>
  </si>
  <si>
    <t>VIN Number</t>
  </si>
  <si>
    <t>Vehicle Cost ($)</t>
  </si>
  <si>
    <t>Ford</t>
  </si>
  <si>
    <t>Car</t>
  </si>
  <si>
    <t>1FTNE2CM3RKA10001</t>
  </si>
  <si>
    <t>$38500</t>
  </si>
  <si>
    <t>New unit added for local delivery operations; garaged at primary location.</t>
  </si>
  <si>
    <t>Kenworth</t>
  </si>
  <si>
    <t>Pickup Truck</t>
  </si>
  <si>
    <t>Chevrolet</t>
  </si>
  <si>
    <t>Peterbilt</t>
  </si>
  <si>
    <t>$74500</t>
  </si>
  <si>
    <t>Unit scheduled for titling; VIN not yet available at time of quote.</t>
  </si>
  <si>
    <t>Flatbed Truck</t>
  </si>
  <si>
    <t>$68900</t>
  </si>
  <si>
    <t>Used for regional freight runs; maintained under fleet service plan.</t>
  </si>
  <si>
    <t>Mack</t>
  </si>
  <si>
    <t>Hino</t>
  </si>
  <si>
    <t>Tank Truck</t>
  </si>
  <si>
    <t>Bulk Truck</t>
  </si>
  <si>
    <t>International</t>
  </si>
  <si>
    <t>Dump Truck</t>
  </si>
  <si>
    <t>$46800</t>
  </si>
  <si>
    <t>Light-duty support vehicle used by dispatch and service staff.</t>
  </si>
  <si>
    <t>Freightliner</t>
  </si>
  <si>
    <t>1FUJGLDR8PLB20002</t>
  </si>
  <si>
    <t>$114200</t>
  </si>
  <si>
    <t>Higher-value sleeper cab unit with backup camera and ELD integration.</t>
  </si>
  <si>
    <t>Volvo</t>
  </si>
  <si>
    <t>$52300</t>
  </si>
  <si>
    <t>VIN pending from dealer; vehicle is currently in service.</t>
  </si>
  <si>
    <t>1HTJHADR2MHC30003</t>
  </si>
  <si>
    <t>1XKAD49X4RJX40004</t>
  </si>
  <si>
    <t>1XP5DB9X3LN500005</t>
  </si>
  <si>
    <t>JHMDM6AH6NN270027</t>
  </si>
  <si>
    <t>$81250</t>
  </si>
  <si>
    <t>Refrigerated body unit used for grocery distribution routes.</t>
  </si>
  <si>
    <t>1FDUF5HT8PDA28028</t>
  </si>
  <si>
    <t>$41200</t>
  </si>
  <si>
    <t>Secondary delivery van assigned to overflow route coverage.</t>
  </si>
  <si>
    <t>1NP5DB9X3MN290029</t>
  </si>
  <si>
    <t>Mercedes-Benz</t>
  </si>
  <si>
    <t>W1Y4NCHY3RT300030</t>
  </si>
  <si>
    <t>1M1AN4GY0KM600006</t>
  </si>
  <si>
    <t>Isuzu</t>
  </si>
  <si>
    <t>JALC4W16XR7A00007</t>
  </si>
  <si>
    <t>1GB4KXCG3NF800008</t>
  </si>
  <si>
    <t>Owned by Insured?</t>
  </si>
  <si>
    <t>Trailer Type</t>
  </si>
  <si>
    <t>Year</t>
  </si>
  <si>
    <t>Trailer Make</t>
  </si>
  <si>
    <t>Trailer Cost ($)</t>
  </si>
  <si>
    <t>Refrigerated</t>
  </si>
  <si>
    <t>Big Tex</t>
  </si>
  <si>
    <t>$18500</t>
  </si>
  <si>
    <t>47T1U2221N1001001</t>
  </si>
  <si>
    <t>Single-axle utility trailer used for local deliveries and light equipment transport.</t>
  </si>
  <si>
    <t>Tank</t>
  </si>
  <si>
    <t>PJ Trailers</t>
  </si>
  <si>
    <t>$22750</t>
  </si>
  <si>
    <t>Open flatbed trailer used for hauling pallets and landscaping materials.</t>
  </si>
  <si>
    <t>4P5FB2021M1001002</t>
  </si>
  <si>
    <t>Bulk</t>
  </si>
  <si>
    <t>4P5FB2021M1001002-2</t>
  </si>
  <si>
    <t>Enclosed</t>
  </si>
  <si>
    <t>Diamond C</t>
  </si>
  <si>
    <t>$16400</t>
  </si>
  <si>
    <t>Trailer is leased through a finance agreement; VIN pending title records.</t>
  </si>
  <si>
    <t>Wabash</t>
  </si>
  <si>
    <t>$31500</t>
  </si>
  <si>
    <t>1JJV532D3L1001004-4</t>
  </si>
  <si>
    <t>Enclosed dry van trailer used for regional freight moves.</t>
  </si>
  <si>
    <t>Trail King</t>
  </si>
  <si>
    <t>$48200</t>
  </si>
  <si>
    <t>1TKL5818J1001005-5</t>
  </si>
  <si>
    <t>Heavy-haul lowboy trailer used for equipment relocation jobs.</t>
  </si>
  <si>
    <t>Load Trail</t>
  </si>
  <si>
    <t>$19850</t>
  </si>
  <si>
    <t>4LTG2233P1001006-6</t>
  </si>
  <si>
    <t>Gooseneck trailer used for agricultural and materials hauling.</t>
  </si>
  <si>
    <t>Great Dane</t>
  </si>
  <si>
    <t>$35900</t>
  </si>
  <si>
    <t>1GRR7200K1001007-7</t>
  </si>
  <si>
    <t>Reefer trailer operated under long-term lease for produce deliveries.</t>
  </si>
  <si>
    <t>1JJV532D3L1001004-2</t>
  </si>
  <si>
    <t>1JJV532D3L1001004</t>
  </si>
  <si>
    <t>Doubledecker</t>
  </si>
  <si>
    <t>1TKL5818J1001005-3</t>
  </si>
  <si>
    <t>4LTG2233P1001006-4</t>
  </si>
  <si>
    <t>1GRR7200K1001007-5</t>
  </si>
  <si>
    <t>1TKL5818J1001005</t>
  </si>
  <si>
    <t>1TKL5818J1001005-2</t>
  </si>
  <si>
    <t>4LTG2233P1001006-3</t>
  </si>
  <si>
    <t>1GRR7200K1001007-4</t>
  </si>
  <si>
    <t>Dump</t>
  </si>
  <si>
    <t>Kaufman</t>
  </si>
  <si>
    <t>$24400</t>
  </si>
  <si>
    <t>New car hauler pending VIN assignment at time of submission.</t>
  </si>
  <si>
    <t>Homesteader</t>
  </si>
  <si>
    <t>$17600</t>
  </si>
  <si>
    <t>5HMD9211L1001009-6</t>
  </si>
  <si>
    <t>Dump trailer used for construction debris and aggregate hauling.</t>
  </si>
  <si>
    <t>Triton</t>
  </si>
  <si>
    <t>$9600</t>
  </si>
  <si>
    <t>4TUT3177H1001010-7</t>
  </si>
  <si>
    <t>Older utility trailer used for occasional service calls and material pickups.</t>
  </si>
  <si>
    <t>4LTG2233P1001006</t>
  </si>
  <si>
    <t>4LTG2233P1001006-2</t>
  </si>
  <si>
    <t>1GRR7200K1001007</t>
  </si>
  <si>
    <t>1GRR7200K1001007-2</t>
  </si>
  <si>
    <t>5HMD9211L1001009-2</t>
  </si>
  <si>
    <t>4TUT3177H1001010-3</t>
  </si>
  <si>
    <t>Sure-Trac</t>
  </si>
  <si>
    <t>$21300</t>
  </si>
  <si>
    <t>5STF6222N1001011-4</t>
  </si>
  <si>
    <t>Flatbed trailer on lease; used for peak-season equipment moves.</t>
  </si>
  <si>
    <t>Iron Bull</t>
  </si>
  <si>
    <t>$20500</t>
  </si>
  <si>
    <t>2IBL3200K1001012-5</t>
  </si>
  <si>
    <t>Equipment trailer used to transport compact machinery to job sites.</t>
  </si>
  <si>
    <t>Utility</t>
  </si>
  <si>
    <t>$28900</t>
  </si>
  <si>
    <t>1UYVS219J1001013-6</t>
  </si>
  <si>
    <t>Dry van trailer used in regional distribution service.</t>
  </si>
  <si>
    <t>5HMD9211L1001009</t>
  </si>
  <si>
    <t>Cimarron</t>
  </si>
  <si>
    <t>$27450</t>
  </si>
  <si>
    <t>3CNG4233P1001014-7</t>
  </si>
  <si>
    <t>Gooseneck trailer financed through dealer and titled to lessor.</t>
  </si>
  <si>
    <t>4TUT3177H1001010</t>
  </si>
  <si>
    <t>4TUT3177H1001010-2</t>
  </si>
  <si>
    <t>5STF6222N1001011-3</t>
  </si>
  <si>
    <t>2IBL3200K1001012-4</t>
  </si>
  <si>
    <t>1UYVS219J1001013-5</t>
  </si>
  <si>
    <t>3CNG4233P1001014-6</t>
  </si>
  <si>
    <t>Cargo Includes Liquor / Manufactured Tobacco?</t>
  </si>
  <si>
    <t>Cargo Includes Oversized / Overweight Commodities?</t>
  </si>
  <si>
    <t>Cargo Includes Excluded Commodities?</t>
  </si>
  <si>
    <t>Commodity (Select from list)</t>
  </si>
  <si>
    <t>Percent of Cargo (%)</t>
  </si>
  <si>
    <t>Average Value per Load ($)</t>
  </si>
  <si>
    <t>Maximum Value per Load ($)</t>
  </si>
  <si>
    <t>Bulk Liquid Cargoes</t>
  </si>
  <si>
    <t>$18000</t>
  </si>
  <si>
    <t>$45000</t>
  </si>
  <si>
    <t>Textiles and Carpet</t>
  </si>
  <si>
    <t>$24000</t>
  </si>
  <si>
    <t>$60000</t>
  </si>
  <si>
    <t>Office Products</t>
  </si>
  <si>
    <t>$8500</t>
  </si>
  <si>
    <t>$20000</t>
  </si>
  <si>
    <t>Beverages - Non Alcoholic</t>
  </si>
  <si>
    <t>$30000</t>
  </si>
  <si>
    <t>$75000</t>
  </si>
  <si>
    <t>Shellfish</t>
  </si>
  <si>
    <t>$27000</t>
  </si>
  <si>
    <t>$65000</t>
  </si>
  <si>
    <t>Hardware</t>
  </si>
  <si>
    <t>$16000</t>
  </si>
  <si>
    <t>$42000</t>
  </si>
  <si>
    <t>Poultry - Frozen</t>
  </si>
  <si>
    <t>$22000</t>
  </si>
  <si>
    <t>$55000</t>
  </si>
  <si>
    <t>$48000</t>
  </si>
  <si>
    <t>$125000</t>
  </si>
  <si>
    <t>Stationary</t>
  </si>
  <si>
    <t>$35000</t>
  </si>
  <si>
    <t>$90000</t>
  </si>
  <si>
    <t>$14000</t>
  </si>
  <si>
    <t>$36000</t>
  </si>
  <si>
    <t>Machinery - Light</t>
  </si>
  <si>
    <t>$54000</t>
  </si>
  <si>
    <t>Garbage, Trash and Refuse</t>
  </si>
  <si>
    <t>$68500</t>
  </si>
  <si>
    <t>$145000</t>
  </si>
  <si>
    <t>Appliances - Household</t>
  </si>
  <si>
    <t>$15600</t>
  </si>
  <si>
    <t>$39000</t>
  </si>
  <si>
    <t>Soap Products / Household Cleaners</t>
  </si>
  <si>
    <t>$27500</t>
  </si>
  <si>
    <t>$64000</t>
  </si>
  <si>
    <t>Refrigeration breakdown coverage required?</t>
  </si>
  <si>
    <t>Any reefer trailers older than 10 years?</t>
  </si>
  <si>
    <t>Reefer trailer serviced at least every 30 days?</t>
  </si>
  <si>
    <t>Hauls seafood or shellfish?</t>
  </si>
  <si>
    <t>Radius of operations (applies to Cargo and APD)</t>
  </si>
  <si>
    <t>Terminal coverage required?</t>
  </si>
  <si>
    <t>Trailer Interchange (TI) coverage required?</t>
  </si>
  <si>
    <t>TI Limit ($)</t>
  </si>
  <si>
    <t>Written TI agreement in place?</t>
  </si>
  <si>
    <t>Cargo limit per unit ($)</t>
  </si>
  <si>
    <t>Average exposure per unit ($)</t>
  </si>
  <si>
    <t>Maximum exposure per unit ($)</t>
  </si>
  <si>
    <t>Loads ever exceed cargo insurance limit?</t>
  </si>
  <si>
    <t>Cargo deductible</t>
  </si>
  <si>
    <t>Physical Damage deductible (PhysDam only)</t>
  </si>
  <si>
    <t>T&amp;S limit (PhysDam only)</t>
  </si>
  <si>
    <t>UW Deductible Override</t>
  </si>
  <si>
    <t>0-25 Miles</t>
  </si>
  <si>
    <t>$0</t>
  </si>
  <si>
    <t>$1,000</t>
  </si>
  <si>
    <t>26-50 Miles</t>
  </si>
  <si>
    <t>$2,500</t>
  </si>
  <si>
    <t>$500</t>
  </si>
  <si>
    <t>51-75 mi</t>
  </si>
  <si>
    <t>76-100 Miles</t>
  </si>
  <si>
    <t>$100000</t>
  </si>
  <si>
    <t>101-150 Miles</t>
  </si>
  <si>
    <t>$50000</t>
  </si>
  <si>
    <t>151-200 Miles</t>
  </si>
  <si>
    <t>201-300 Miles</t>
  </si>
  <si>
    <t>301-500 Miles</t>
  </si>
  <si>
    <t>501-1000 Miles</t>
  </si>
  <si>
    <t>Over 1000 Miles</t>
  </si>
  <si>
    <t>Any Unrepaired Damage from Prior Losses?</t>
  </si>
  <si>
    <t>Add extra subjectivities?</t>
  </si>
  <si>
    <t>Notes about the Insured</t>
  </si>
  <si>
    <t>Loss #</t>
  </si>
  <si>
    <t>Loss Year</t>
  </si>
  <si>
    <t>Premium at Time of Loss ($)</t>
  </si>
  <si>
    <t>Loss Description (if Other)</t>
  </si>
  <si>
    <t>Amount Paid ($)</t>
  </si>
  <si>
    <t>Amount Outstanding ($)</t>
  </si>
  <si>
    <t>Require updated driver list</t>
  </si>
  <si>
    <t>No recent claims reported</t>
  </si>
  <si>
    <t>$12500</t>
  </si>
  <si>
    <t>Claim closed with no further action required.</t>
  </si>
  <si>
    <t>Well maintained fleet</t>
  </si>
  <si>
    <t>Annual safety training completed</t>
  </si>
  <si>
    <t>$19250</t>
  </si>
  <si>
    <t>Tree limb fell on parked unit causing roof and mirror damage</t>
  </si>
  <si>
    <t>$8450</t>
  </si>
  <si>
    <t>Install GPS tracking</t>
  </si>
  <si>
    <t>Experienced operators</t>
  </si>
  <si>
    <t>$21400</t>
  </si>
  <si>
    <t>Records reviewed and satisfactory</t>
  </si>
  <si>
    <t>Risk profile acceptable</t>
  </si>
  <si>
    <t>$17650</t>
  </si>
  <si>
    <t>Overturn</t>
  </si>
  <si>
    <t>$9800</t>
  </si>
  <si>
    <t>No outstanding payments remaining on claim.</t>
  </si>
  <si>
    <t>Collision</t>
  </si>
  <si>
    <t>Loss adjusted according to policy terms.</t>
  </si>
  <si>
    <t>$15900</t>
  </si>
  <si>
    <t>Insured cooperated throughout investigation.</t>
  </si>
  <si>
    <t>$26750</t>
  </si>
  <si>
    <t>$11100</t>
  </si>
  <si>
    <t>Repair work completed successfully.</t>
  </si>
  <si>
    <t>$45500</t>
  </si>
  <si>
    <t>$8000</t>
  </si>
  <si>
    <t>$7600</t>
  </si>
  <si>
    <t>$5600</t>
  </si>
  <si>
    <t>$400</t>
  </si>
  <si>
    <t>Claim handled within expected timeframe.</t>
  </si>
  <si>
    <t>$11250</t>
  </si>
  <si>
    <t>$1500</t>
  </si>
  <si>
    <t>Safety recommendations provided to insured.</t>
  </si>
  <si>
    <t>$18100</t>
  </si>
  <si>
    <t>$7900</t>
  </si>
  <si>
    <t>Follow-up inspection confirmed repairs.</t>
  </si>
  <si>
    <t>$24750</t>
  </si>
  <si>
    <t>$16800</t>
  </si>
  <si>
    <t>$1200</t>
  </si>
  <si>
    <t>Settlement issued and accepted by claimant.</t>
  </si>
  <si>
    <t>$33100</t>
  </si>
  <si>
    <t>$29400</t>
  </si>
  <si>
    <t>$5100</t>
  </si>
  <si>
    <t>Claim file updated with final documentation.</t>
  </si>
  <si>
    <t>No coverage disputes identified during review.</t>
  </si>
  <si>
    <t>$6400</t>
  </si>
  <si>
    <t>Loss reserve released after closure.</t>
  </si>
  <si>
    <t>Does Policy Have Loss Payees (PhysDam)?</t>
  </si>
  <si>
    <t>Loss Payee Name</t>
  </si>
  <si>
    <t>Address Street 1</t>
  </si>
  <si>
    <t>Address Street 2</t>
  </si>
  <si>
    <t>Applies to All Units / Trailers?</t>
  </si>
  <si>
    <t>Assigned Units / Trailers (if not all)</t>
  </si>
  <si>
    <t>First National Bank of Virginia</t>
  </si>
  <si>
    <t>1200 Main St</t>
  </si>
  <si>
    <t>Nashua</t>
  </si>
  <si>
    <t>NH</t>
  </si>
  <si>
    <t>03060</t>
  </si>
  <si>
    <t>Primary lienholder on all scheduled physical damage units.</t>
  </si>
  <si>
    <t>Penske Truck Leasing Co. LP</t>
  </si>
  <si>
    <t>2675 Morgantown Rd</t>
  </si>
  <si>
    <t>Vehicle 3</t>
  </si>
  <si>
    <t>Leased box truck requires lender named as loss payee.</t>
  </si>
  <si>
    <t>U.S. Bank Equipment Finance</t>
  </si>
  <si>
    <t>1310 Main St</t>
  </si>
  <si>
    <t>Suite 100</t>
  </si>
  <si>
    <t>Trailer 2</t>
  </si>
  <si>
    <t>Loss payee applies to financed utility trailer only.</t>
  </si>
  <si>
    <t>Bank of America Leasing</t>
  </si>
  <si>
    <t>100 N Tryon St</t>
  </si>
  <si>
    <t>Vehicle 1; Vehicle 4</t>
  </si>
  <si>
    <t>Applies to two leased straight trucks under separate finance agreement.</t>
  </si>
  <si>
    <t>Oklahoma City</t>
  </si>
  <si>
    <t>OK</t>
  </si>
  <si>
    <t>Pierre</t>
  </si>
  <si>
    <t>Dallas</t>
  </si>
  <si>
    <t>TX</t>
  </si>
  <si>
    <t>Ogden</t>
  </si>
  <si>
    <t>TD Bank USA, N.A.</t>
  </si>
  <si>
    <t>1701 Route 70 E</t>
  </si>
  <si>
    <t>Tacoma</t>
  </si>
  <si>
    <t>Vehicle 2</t>
  </si>
  <si>
    <t>Loss payee limited to one financed service truck.</t>
  </si>
  <si>
    <t>Arvest Equipment Finance</t>
  </si>
  <si>
    <t>801 John Barrow Rd</t>
  </si>
  <si>
    <t>Lender requires blanket loss payee for all currently scheduled units.</t>
  </si>
  <si>
    <t>Estimated Gross Revenue for Coming Year ($)</t>
  </si>
  <si>
    <t>Own Haul Total ($)</t>
  </si>
  <si>
    <t>Subcontracted Total ($)</t>
  </si>
  <si>
    <t>Owner 1  -  Full Name</t>
  </si>
  <si>
    <t>Owner 2  -  Full Name</t>
  </si>
  <si>
    <t>Owner 3  -  Full Name</t>
  </si>
  <si>
    <t>Owner 4  -  Full Name</t>
  </si>
  <si>
    <t>Owner 5  -  Full Name</t>
  </si>
  <si>
    <t>Primary account with steady regional freight volume and moderate seasonal subcontracting for overflow coverage.</t>
  </si>
  <si>
    <t>High-volume refrigerated logistics operation with consistent long-haul routes and approved overflow carriers.</t>
  </si>
  <si>
    <t>Angela Perez</t>
  </si>
  <si>
    <t>Brian Perez</t>
  </si>
  <si>
    <t>Small courier operation with all freight hauled in-house; no subcontracting planned.</t>
  </si>
  <si>
    <t>Established fleet with warehouse support services and seasonal subcontracted distribution lanes.</t>
  </si>
  <si>
    <t>Elliot Thompson</t>
  </si>
  <si>
    <t>Temperature-controlled carrier with expanding retail food routes and selective owner-operator use.</t>
  </si>
  <si>
    <t>Karen Ellis</t>
  </si>
  <si>
    <t>Local delivery operation with minimal third-party use and stable short-haul revenue.</t>
  </si>
  <si>
    <t>Diversified freight account with a mix of owned equipment and qualified subcontracted overflow loads.</t>
  </si>
  <si>
    <t>Anthony Rivera</t>
  </si>
  <si>
    <t>Sofia Rivera</t>
  </si>
  <si>
    <t>Growing regional shipper with occasional contracted haulers for weekend and peak-period shipments.</t>
  </si>
  <si>
    <t>Lisa Martinez</t>
  </si>
  <si>
    <t>Large multi-state operation with fleet expansion planned and substantial subcontracted linehaul support.</t>
  </si>
  <si>
    <t>Charles Bennett</t>
  </si>
  <si>
    <t>Elaine Bennett</t>
  </si>
  <si>
    <t>Noah Bennett</t>
  </si>
  <si>
    <t>Smaller account with mostly in-house delivery and limited overflow subcontracting during holiday demand.</t>
  </si>
  <si>
    <t>Patricia Walker</t>
  </si>
  <si>
    <t>08/24/2025</t>
  </si>
  <si>
    <t>04/07/2025</t>
  </si>
  <si>
    <t>04/06/2025</t>
  </si>
  <si>
    <t>07/31/2025</t>
  </si>
  <si>
    <t>11/06/2025</t>
  </si>
  <si>
    <t>09/01/2025</t>
  </si>
  <si>
    <t>01/15/2025</t>
  </si>
  <si>
    <t>04/08/2025</t>
  </si>
  <si>
    <t>05/12/2025</t>
  </si>
  <si>
    <t>10/02/2025</t>
  </si>
  <si>
    <t>05/16/2025</t>
  </si>
  <si>
    <t>07/06/2025</t>
  </si>
  <si>
    <t>09/25/2025</t>
  </si>
  <si>
    <t>04/02/2025</t>
  </si>
  <si>
    <t>08/06/2025</t>
  </si>
  <si>
    <t>07/02/2025</t>
  </si>
  <si>
    <t>11/02/2025</t>
  </si>
  <si>
    <t>02/18/2025</t>
  </si>
  <si>
    <t>05/08/2025</t>
  </si>
  <si>
    <t>02/14/2025</t>
  </si>
  <si>
    <t>01/29/2025</t>
  </si>
  <si>
    <t>02/11/2025</t>
  </si>
  <si>
    <t>08/16/2025</t>
  </si>
  <si>
    <t>10/04/2025</t>
  </si>
  <si>
    <t>07/26/2025</t>
  </si>
  <si>
    <t>04/18/2025</t>
  </si>
  <si>
    <t>06/08/2025</t>
  </si>
  <si>
    <t>05/25/2025</t>
  </si>
  <si>
    <t>07/24/2025</t>
  </si>
  <si>
    <t>02/01/2025</t>
  </si>
  <si>
    <t>06/07/2025</t>
  </si>
  <si>
    <t>07/19/2025</t>
  </si>
  <si>
    <t>03/13/2025</t>
  </si>
  <si>
    <t>06/01/2025</t>
  </si>
  <si>
    <t>08/18/2025</t>
  </si>
  <si>
    <t>05/02/2025</t>
  </si>
  <si>
    <t>08/13/2025</t>
  </si>
  <si>
    <t>05/11/2025</t>
  </si>
  <si>
    <t>06/09/2025</t>
  </si>
  <si>
    <t>03/03/2025</t>
  </si>
  <si>
    <t>03/21/2025</t>
  </si>
  <si>
    <t>04/21/2025</t>
  </si>
  <si>
    <t>11/09/2025</t>
  </si>
  <si>
    <t>11/07/2025</t>
  </si>
  <si>
    <t>09/12/2025</t>
  </si>
  <si>
    <t>09/13/2025</t>
  </si>
  <si>
    <t>06/11/2025</t>
  </si>
  <si>
    <t>1-10 miles</t>
  </si>
  <si>
    <t>11-20 miles</t>
  </si>
  <si>
    <t>$300,000/$600,000</t>
  </si>
  <si>
    <t>$100,000/$200,000</t>
  </si>
  <si>
    <t>$1,000,000/$2,000,000</t>
  </si>
  <si>
    <t>03/15/2024</t>
  </si>
  <si>
    <t>06/18/2023</t>
  </si>
  <si>
    <t>09/27/2024</t>
  </si>
  <si>
    <t>02/14/2023</t>
  </si>
  <si>
    <t>07/30/2025</t>
  </si>
  <si>
    <t>12/09/2024</t>
  </si>
  <si>
    <t>04/21/2024</t>
  </si>
  <si>
    <t>02/28/2025</t>
  </si>
  <si>
    <t>08/07/2024</t>
  </si>
  <si>
    <t>01/25/2023</t>
  </si>
  <si>
    <t>09/11/2025</t>
  </si>
  <si>
    <t>05/19/2024</t>
  </si>
  <si>
    <t>07/04/2023</t>
  </si>
  <si>
    <t>03/16/2025</t>
  </si>
  <si>
    <t>06/23/2025</t>
  </si>
  <si>
    <t>02/08/2024</t>
  </si>
  <si>
    <t>08/29/2025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</si>
</sst>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name val="Calibri"/>
    </font>
    <font>
      <sz val="11"/>
      <color rgb="FF000000"/>
      <name val="Calibri"/>
    </font>
    <font>
      <sz val="10"/>
      <color rgb="FF000000"/>
      <name val="Calibri"/>
    </font>
    <font>
      <sz val="11"/>
      <name val="Segoe UI"/>
    </font>
    <font>
      <sz val="11"/>
      <color rgb="FF242424"/>
      <name val="Calibri"/>
    </font>
    <font>
      <sz val="11"/>
      <name val="Calibri"/>
      <family val="2"/>
    </font>
    <font>
      <sz val="11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D9D9"/>
      </patternFill>
    </fill>
    <fill>
      <patternFill patternType="solid">
        <fgColor rgb="FFC00000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49" fontId="1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10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 wrapText="1"/>
    </xf>
    <xf numFmtId="49" fontId="1" fillId="0" borderId="1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vertical="top"/>
    </xf>
    <xf numFmtId="49" fontId="2" fillId="0" borderId="1" xfId="0" applyNumberFormat="1" applyFont="1" applyBorder="1"/>
    <xf numFmtId="49" fontId="3" fillId="0" borderId="1" xfId="0" applyNumberFormat="1" applyFont="1" applyBorder="1"/>
    <xf numFmtId="49" fontId="2" fillId="0" borderId="1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horizontal="left"/>
    </xf>
    <xf numFmtId="49" fontId="1" fillId="0" borderId="1" xfId="0" applyNumberFormat="1" applyFont="1" applyBorder="1"/>
    <xf numFmtId="49" fontId="1" fillId="0" borderId="0" xfId="0" applyNumberFormat="1" applyFont="1" applyAlignment="1">
      <alignment horizontal="left"/>
    </xf>
    <xf numFmtId="49" fontId="2" fillId="0" borderId="0" xfId="0" applyNumberFormat="1" applyFont="1"/>
    <xf numFmtId="49" fontId="3" fillId="0" borderId="2" xfId="0" applyNumberFormat="1" applyFont="1" applyBorder="1"/>
    <xf numFmtId="49" fontId="2" fillId="0" borderId="0" xfId="0" applyNumberFormat="1" applyFont="1" applyAlignment="1">
      <alignment vertical="top" wrapText="1"/>
    </xf>
    <xf numFmtId="49" fontId="2" fillId="0" borderId="0" xfId="0" applyNumberFormat="1" applyFont="1" applyAlignment="1">
      <alignment horizontal="left"/>
    </xf>
    <xf numFmtId="49" fontId="1" fillId="0" borderId="0" xfId="0" applyNumberFormat="1" applyFont="1"/>
    <xf numFmtId="49" fontId="2" fillId="0" borderId="0" xfId="0" applyNumberFormat="1" applyFont="1" applyAlignment="1">
      <alignment wrapText="1"/>
    </xf>
    <xf numFmtId="10" fontId="1" fillId="0" borderId="1" xfId="0" applyNumberFormat="1" applyFont="1" applyBorder="1"/>
    <xf numFmtId="49" fontId="3" fillId="0" borderId="1" xfId="0" applyNumberFormat="1" applyFont="1" applyBorder="1" applyAlignment="1">
      <alignment horizontal="left" vertical="center"/>
    </xf>
    <xf numFmtId="10" fontId="2" fillId="0" borderId="0" xfId="0" applyNumberFormat="1" applyFont="1"/>
    <xf numFmtId="49" fontId="1" fillId="2" borderId="1" xfId="0" applyNumberFormat="1" applyFont="1" applyFill="1" applyBorder="1"/>
    <xf numFmtId="49" fontId="1" fillId="0" borderId="1" xfId="0" applyNumberFormat="1" applyFont="1" applyBorder="1" applyAlignment="1">
      <alignment horizontal="left" vertical="top"/>
    </xf>
    <xf numFmtId="49" fontId="1" fillId="2" borderId="3" xfId="0" applyNumberFormat="1" applyFont="1" applyFill="1" applyBorder="1"/>
    <xf numFmtId="49" fontId="1" fillId="2" borderId="4" xfId="0" applyNumberFormat="1" applyFont="1" applyFill="1" applyBorder="1"/>
    <xf numFmtId="49" fontId="1" fillId="2" borderId="5" xfId="0" applyNumberFormat="1" applyFont="1" applyFill="1" applyBorder="1"/>
    <xf numFmtId="49" fontId="1" fillId="2" borderId="3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49" fontId="1" fillId="2" borderId="5" xfId="0" applyNumberFormat="1" applyFont="1" applyFill="1" applyBorder="1" applyAlignment="1">
      <alignment horizontal="left"/>
    </xf>
    <xf numFmtId="49" fontId="1" fillId="0" borderId="3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left"/>
    </xf>
    <xf numFmtId="49" fontId="3" fillId="3" borderId="1" xfId="0" applyNumberFormat="1" applyFont="1" applyFill="1" applyBorder="1" applyAlignment="1">
      <alignment horizontal="center" vertical="center"/>
    </xf>
    <xf numFmtId="49" fontId="3" fillId="3" borderId="6" xfId="0" applyNumberFormat="1" applyFont="1" applyFill="1" applyBorder="1" applyAlignment="1">
      <alignment horizontal="center" vertical="center"/>
    </xf>
    <xf numFmtId="49" fontId="1" fillId="0" borderId="6" xfId="0" applyNumberFormat="1" applyFont="1" applyBorder="1"/>
    <xf numFmtId="49" fontId="1" fillId="0" borderId="2" xfId="0" applyNumberFormat="1" applyFont="1" applyBorder="1"/>
    <xf numFmtId="49" fontId="1" fillId="0" borderId="7" xfId="0" applyNumberFormat="1" applyFont="1" applyBorder="1"/>
    <xf numFmtId="49" fontId="1" fillId="0" borderId="3" xfId="0" applyNumberFormat="1" applyFont="1" applyBorder="1"/>
    <xf numFmtId="49" fontId="2" fillId="0" borderId="2" xfId="0" applyNumberFormat="1" applyFont="1" applyBorder="1"/>
    <xf numFmtId="49" fontId="3" fillId="2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2" fontId="1" fillId="0" borderId="0" xfId="0" applyNumberFormat="1" applyFont="1"/>
    <xf numFmtId="49" fontId="2" fillId="4" borderId="0" xfId="0" applyNumberFormat="1" applyFont="1" applyFill="1"/>
    <xf numFmtId="49" fontId="1" fillId="0" borderId="0" xfId="0" applyNumberFormat="1" applyFont="1" applyAlignment="1">
      <alignment vertical="center" wrapText="1"/>
    </xf>
    <xf numFmtId="49" fontId="4" fillId="2" borderId="0" xfId="0" applyNumberFormat="1" applyFont="1" applyFill="1"/>
    <xf numFmtId="49" fontId="4" fillId="0" borderId="0" xfId="0" applyNumberFormat="1" applyFont="1"/>
    <xf numFmtId="49" fontId="1" fillId="0" borderId="0" xfId="0" applyNumberFormat="1" applyFont="1" applyAlignment="1">
      <alignment horizontal="left" wrapText="1"/>
    </xf>
    <xf numFmtId="49" fontId="1" fillId="2" borderId="0" xfId="0" applyNumberFormat="1" applyFont="1" applyFill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2" borderId="0" xfId="0" applyNumberFormat="1" applyFont="1" applyFill="1" applyAlignment="1">
      <alignment horizontal="left"/>
    </xf>
    <xf numFmtId="49" fontId="1" fillId="2" borderId="0" xfId="0" applyNumberFormat="1" applyFont="1" applyFill="1" applyAlignment="1">
      <alignment horizontal="left"/>
    </xf>
    <xf numFmtId="49" fontId="5" fillId="0" borderId="0" xfId="0" applyNumberFormat="1" applyFont="1"/>
    <xf numFmtId="0" fontId="1" fillId="0" borderId="0" xfId="0" applyFont="1" applyAlignment="1">
      <alignment horizontal="left"/>
    </xf>
    <xf numFmtId="0" fontId="2" fillId="0" borderId="0" xfId="0" applyFont="1"/>
    <xf numFmtId="10" fontId="1" fillId="0" borderId="0" xfId="0" applyNumberFormat="1" applyFont="1" applyAlignment="1">
      <alignment horizontal="left"/>
    </xf>
    <xf numFmtId="49" fontId="0" fillId="0" borderId="0" xfId="0" applyNumberFormat="1"/>
    <xf numFmtId="49" fontId="6" fillId="0" borderId="0" xfId="0" applyNumberFormat="1" applyFont="1"/>
    <xf numFmtId="49" fontId="2" fillId="5" borderId="1" xfId="0" applyNumberFormat="1" applyFont="1" applyFill="1" applyBorder="1"/>
    <xf numFmtId="49" fontId="6" fillId="0" borderId="1" xfId="0" applyNumberFormat="1" applyFont="1" applyBorder="1"/>
    <xf numFmtId="49" fontId="1" fillId="5" borderId="0" xfId="0" applyNumberFormat="1" applyFont="1" applyFill="1"/>
    <xf numFmtId="49" fontId="4" fillId="5" borderId="0" xfId="0" applyNumberFormat="1" applyFont="1" applyFill="1"/>
    <xf numFmtId="0" fontId="0" fillId="5" borderId="0" xfId="0" applyFill="1"/>
    <xf numFmtId="0" fontId="7" fillId="5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144"/>
  <sheetViews>
    <sheetView workbookViewId="0">
      <pane xSplit="1" topLeftCell="B1" activePane="topRight" state="frozen"/>
      <selection pane="topRight"/>
    </sheetView>
  </sheetViews>
  <sheetFormatPr defaultRowHeight="14.4"/>
  <cols>
    <col min="1" max="1" width="9.33203125" customWidth="1"/>
    <col min="2" max="2" width="15" customWidth="1"/>
    <col min="3" max="3" width="21.33203125" customWidth="1"/>
    <col min="4" max="4" width="23.33203125" customWidth="1"/>
    <col min="5" max="5" width="27.33203125" customWidth="1"/>
    <col min="6" max="8" width="15" customWidth="1"/>
    <col min="9" max="11" width="21" customWidth="1"/>
    <col min="12" max="12" width="17" customWidth="1"/>
    <col min="13" max="13" width="16" customWidth="1"/>
    <col min="14" max="14" width="12" customWidth="1"/>
    <col min="15" max="16" width="22" customWidth="1"/>
    <col min="17" max="17" width="25" customWidth="1"/>
    <col min="18" max="18" width="22" customWidth="1"/>
    <col min="19" max="19" width="42.109375" customWidth="1"/>
    <col min="20" max="20" width="41" customWidth="1"/>
    <col min="21" max="21" width="16" customWidth="1"/>
    <col min="22" max="22" width="19" customWidth="1"/>
    <col min="23" max="23" width="42.109375" customWidth="1"/>
    <col min="24" max="25" width="16" customWidth="1"/>
    <col min="26" max="26" width="28" customWidth="1"/>
    <col min="27" max="27" width="24" customWidth="1"/>
    <col min="28" max="28" width="20" customWidth="1"/>
    <col min="29" max="29" width="21" customWidth="1"/>
    <col min="30" max="30" width="19" customWidth="1"/>
    <col min="31" max="31" width="20" customWidth="1"/>
    <col min="32" max="32" width="41" customWidth="1"/>
    <col min="33" max="33" width="31" customWidth="1"/>
    <col min="34" max="34" width="16" customWidth="1"/>
    <col min="35" max="35" width="40" customWidth="1"/>
    <col min="36" max="36" width="22" customWidth="1"/>
    <col min="37" max="37" width="18" customWidth="1"/>
    <col min="38" max="38" width="19" customWidth="1"/>
    <col min="39" max="39" width="17" customWidth="1"/>
    <col min="40" max="40" width="38.109375" customWidth="1"/>
    <col min="41" max="41" width="17" customWidth="1"/>
    <col min="42" max="42" width="26.88671875" customWidth="1"/>
    <col min="43" max="47" width="17" customWidth="1"/>
    <col min="48" max="48" width="13" customWidth="1"/>
    <col min="49" max="49" width="18" customWidth="1"/>
    <col min="50" max="53" width="27" customWidth="1"/>
    <col min="54" max="54" width="18" customWidth="1"/>
    <col min="55" max="55" width="42.109375" customWidth="1"/>
    <col min="56" max="56" width="19" customWidth="1"/>
    <col min="57" max="57" width="22" customWidth="1"/>
    <col min="58" max="58" width="28" customWidth="1"/>
    <col min="59" max="59" width="27" customWidth="1"/>
    <col min="60" max="60" width="23" customWidth="1"/>
    <col min="61" max="61" width="24" customWidth="1"/>
    <col min="62" max="62" width="22" customWidth="1"/>
    <col min="63" max="63" width="31" customWidth="1"/>
    <col min="64" max="65" width="18" customWidth="1"/>
    <col min="66" max="66" width="14" customWidth="1"/>
    <col min="67" max="67" width="15" customWidth="1"/>
    <col min="68" max="68" width="13" customWidth="1"/>
    <col min="69" max="69" width="9.33203125" customWidth="1"/>
    <col min="70" max="70" width="23.5546875" customWidth="1"/>
    <col min="71" max="71" width="19.6640625" customWidth="1"/>
    <col min="72" max="72" width="18.33203125" customWidth="1"/>
    <col min="73" max="73" width="17.33203125" customWidth="1"/>
    <col min="74" max="74" width="15.44140625" customWidth="1"/>
    <col min="75" max="75" width="16.5546875" customWidth="1"/>
    <col min="76" max="76" width="22.33203125" customWidth="1"/>
    <col min="77" max="77" width="17.6640625" customWidth="1"/>
    <col min="78" max="78" width="9.33203125" customWidth="1"/>
  </cols>
  <sheetData>
    <row r="1" spans="1:78" ht="7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3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4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2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6" t="s">
        <v>74</v>
      </c>
      <c r="BX1" s="6" t="s">
        <v>75</v>
      </c>
      <c r="BY1" s="6" t="s">
        <v>76</v>
      </c>
      <c r="BZ1" s="6" t="s">
        <v>77</v>
      </c>
    </row>
    <row r="2" spans="1:78">
      <c r="A2" s="1" t="s">
        <v>78</v>
      </c>
      <c r="B2" s="7" t="s">
        <v>79</v>
      </c>
      <c r="C2" s="7" t="s">
        <v>80</v>
      </c>
      <c r="D2" s="7" t="s">
        <v>81</v>
      </c>
      <c r="E2" s="7" t="s">
        <v>80</v>
      </c>
      <c r="F2" s="7" t="s">
        <v>82</v>
      </c>
      <c r="G2" s="1" t="s">
        <v>80</v>
      </c>
      <c r="H2" s="1" t="s">
        <v>80</v>
      </c>
      <c r="I2" s="1" t="s">
        <v>81</v>
      </c>
      <c r="J2" s="1" t="s">
        <v>81</v>
      </c>
      <c r="K2" s="1" t="s">
        <v>83</v>
      </c>
      <c r="L2" s="7" t="s">
        <v>84</v>
      </c>
      <c r="M2" s="1" t="s">
        <v>85</v>
      </c>
      <c r="N2" s="1" t="s">
        <v>86</v>
      </c>
      <c r="O2" s="1" t="s">
        <v>87</v>
      </c>
      <c r="P2" s="1" t="s">
        <v>88</v>
      </c>
      <c r="Q2" s="1">
        <v>5</v>
      </c>
      <c r="R2" s="1">
        <v>0</v>
      </c>
      <c r="S2" s="1" t="s">
        <v>89</v>
      </c>
      <c r="T2" s="1" t="s">
        <v>90</v>
      </c>
      <c r="U2" s="1" t="s">
        <v>91</v>
      </c>
      <c r="V2" s="1" t="s">
        <v>92</v>
      </c>
      <c r="W2" s="1" t="s">
        <v>93</v>
      </c>
      <c r="X2" s="1" t="s">
        <v>94</v>
      </c>
      <c r="Y2" s="1" t="s">
        <v>95</v>
      </c>
      <c r="Z2" s="1" t="s">
        <v>96</v>
      </c>
      <c r="AA2" s="1" t="s">
        <v>97</v>
      </c>
      <c r="AB2" s="1" t="s">
        <v>98</v>
      </c>
      <c r="AC2" s="1" t="s">
        <v>99</v>
      </c>
      <c r="AD2" s="1">
        <v>97301</v>
      </c>
      <c r="AE2" s="1" t="s">
        <v>100</v>
      </c>
      <c r="AF2" s="1" t="s">
        <v>101</v>
      </c>
      <c r="AG2" s="1" t="s">
        <v>102</v>
      </c>
      <c r="AH2" s="1" t="s">
        <v>103</v>
      </c>
      <c r="AI2" s="1"/>
      <c r="AJ2" s="1"/>
      <c r="AK2" s="1"/>
      <c r="AL2" s="1"/>
      <c r="AM2" s="1"/>
      <c r="AN2" s="1"/>
      <c r="AO2" s="1" t="s">
        <v>104</v>
      </c>
      <c r="AP2" s="1" t="s">
        <v>105</v>
      </c>
      <c r="AQ2" s="8" t="s">
        <v>106</v>
      </c>
      <c r="AR2" s="7" t="s">
        <v>79</v>
      </c>
      <c r="AS2" s="8">
        <v>20701</v>
      </c>
      <c r="AT2" s="1" t="s">
        <v>107</v>
      </c>
      <c r="AU2" s="1" t="s">
        <v>108</v>
      </c>
      <c r="AV2" s="7" t="s">
        <v>80</v>
      </c>
      <c r="AW2" s="9"/>
      <c r="AX2" s="9"/>
      <c r="AY2" s="9"/>
      <c r="AZ2" s="9"/>
      <c r="BA2" s="9"/>
      <c r="BB2" s="1" t="s">
        <v>80</v>
      </c>
      <c r="BC2" s="1"/>
      <c r="BD2" s="10" t="s">
        <v>109</v>
      </c>
      <c r="BE2" s="1"/>
      <c r="BF2" s="1" t="s">
        <v>80</v>
      </c>
      <c r="BG2" s="2" t="s">
        <v>110</v>
      </c>
      <c r="BH2" s="1" t="s">
        <v>111</v>
      </c>
      <c r="BI2" s="1" t="s">
        <v>81</v>
      </c>
      <c r="BJ2" s="1">
        <v>1</v>
      </c>
      <c r="BK2" s="1" t="s">
        <v>112</v>
      </c>
      <c r="BL2" s="1" t="s">
        <v>104</v>
      </c>
      <c r="BM2" s="1" t="s">
        <v>105</v>
      </c>
      <c r="BN2" s="8" t="s">
        <v>106</v>
      </c>
      <c r="BO2" s="7" t="s">
        <v>79</v>
      </c>
      <c r="BP2" s="8">
        <v>20701</v>
      </c>
      <c r="BQ2" s="1" t="s">
        <v>81</v>
      </c>
      <c r="BR2" s="1"/>
      <c r="BS2" s="1"/>
      <c r="BT2" s="1"/>
      <c r="BU2" s="1"/>
      <c r="BV2" s="1"/>
      <c r="BW2" s="11" t="s">
        <v>81</v>
      </c>
      <c r="BX2" s="1" t="s">
        <v>113</v>
      </c>
      <c r="BY2" s="1" t="s">
        <v>114</v>
      </c>
      <c r="BZ2" s="1" t="s">
        <v>115</v>
      </c>
    </row>
    <row r="3" spans="1:78">
      <c r="A3" s="1" t="s">
        <v>116</v>
      </c>
      <c r="B3" s="7" t="s">
        <v>117</v>
      </c>
      <c r="C3" s="7" t="s">
        <v>80</v>
      </c>
      <c r="D3" s="7" t="s">
        <v>81</v>
      </c>
      <c r="E3" s="7" t="s">
        <v>80</v>
      </c>
      <c r="F3" s="7" t="s">
        <v>118</v>
      </c>
      <c r="G3" s="1" t="s">
        <v>80</v>
      </c>
      <c r="H3" s="1" t="s">
        <v>80</v>
      </c>
      <c r="I3" s="1" t="s">
        <v>81</v>
      </c>
      <c r="J3" s="1" t="s">
        <v>81</v>
      </c>
      <c r="K3" s="1" t="s">
        <v>83</v>
      </c>
      <c r="L3" s="7" t="s">
        <v>119</v>
      </c>
      <c r="M3" s="1" t="s">
        <v>120</v>
      </c>
      <c r="N3" s="1" t="s">
        <v>86</v>
      </c>
      <c r="O3" s="1" t="s">
        <v>121</v>
      </c>
      <c r="P3" s="1" t="s">
        <v>122</v>
      </c>
      <c r="Q3" s="1">
        <v>0</v>
      </c>
      <c r="R3" s="1">
        <v>3</v>
      </c>
      <c r="S3" s="1" t="s">
        <v>123</v>
      </c>
      <c r="T3" s="1" t="s">
        <v>124</v>
      </c>
      <c r="U3" s="1" t="s">
        <v>125</v>
      </c>
      <c r="V3" s="1" t="s">
        <v>126</v>
      </c>
      <c r="W3" s="1" t="s">
        <v>127</v>
      </c>
      <c r="X3" s="1" t="s">
        <v>128</v>
      </c>
      <c r="Y3" s="1" t="s">
        <v>129</v>
      </c>
      <c r="Z3" s="1" t="s">
        <v>130</v>
      </c>
      <c r="AA3" s="1" t="s">
        <v>131</v>
      </c>
      <c r="AB3" s="1" t="s">
        <v>132</v>
      </c>
      <c r="AC3" s="1" t="s">
        <v>133</v>
      </c>
      <c r="AD3" s="1" t="s">
        <v>134</v>
      </c>
      <c r="AE3" s="1" t="s">
        <v>135</v>
      </c>
      <c r="AF3" s="1" t="s">
        <v>136</v>
      </c>
      <c r="AG3" s="1" t="s">
        <v>137</v>
      </c>
      <c r="AH3" s="1" t="s">
        <v>138</v>
      </c>
      <c r="AI3" s="1"/>
      <c r="AJ3" s="1"/>
      <c r="AK3" s="1"/>
      <c r="AL3" s="1"/>
      <c r="AM3" s="1"/>
      <c r="AN3" s="1"/>
      <c r="AO3" s="1" t="s">
        <v>139</v>
      </c>
      <c r="AP3" s="1" t="s">
        <v>140</v>
      </c>
      <c r="AQ3" s="7" t="s">
        <v>141</v>
      </c>
      <c r="AR3" s="7" t="s">
        <v>117</v>
      </c>
      <c r="AS3" s="8">
        <v>19182</v>
      </c>
      <c r="AT3" s="1" t="s">
        <v>142</v>
      </c>
      <c r="AU3" s="1" t="s">
        <v>143</v>
      </c>
      <c r="AV3" s="7" t="s">
        <v>80</v>
      </c>
      <c r="AW3" s="9"/>
      <c r="AX3" s="9"/>
      <c r="AY3" s="9"/>
      <c r="AZ3" s="9"/>
      <c r="BA3" s="9"/>
      <c r="BB3" s="1" t="s">
        <v>81</v>
      </c>
      <c r="BC3" s="1">
        <v>2012</v>
      </c>
      <c r="BD3" s="1" t="s">
        <v>144</v>
      </c>
      <c r="BE3" s="1"/>
      <c r="BF3" s="1" t="s">
        <v>80</v>
      </c>
      <c r="BG3" s="2" t="s">
        <v>145</v>
      </c>
      <c r="BH3" s="1" t="s">
        <v>146</v>
      </c>
      <c r="BI3" s="1" t="s">
        <v>80</v>
      </c>
      <c r="BJ3" s="1">
        <v>14</v>
      </c>
      <c r="BK3" s="1" t="s">
        <v>147</v>
      </c>
      <c r="BL3" s="1" t="s">
        <v>139</v>
      </c>
      <c r="BM3" s="1" t="s">
        <v>140</v>
      </c>
      <c r="BN3" s="7" t="s">
        <v>141</v>
      </c>
      <c r="BO3" s="7" t="s">
        <v>117</v>
      </c>
      <c r="BP3" s="8">
        <v>19182</v>
      </c>
      <c r="BQ3" s="1" t="s">
        <v>81</v>
      </c>
      <c r="BR3" s="1"/>
      <c r="BS3" s="1"/>
      <c r="BT3" s="1"/>
      <c r="BU3" s="1"/>
      <c r="BV3" s="1"/>
      <c r="BW3" s="11" t="s">
        <v>81</v>
      </c>
      <c r="BX3" s="1" t="s">
        <v>148</v>
      </c>
      <c r="BY3" s="1" t="s">
        <v>149</v>
      </c>
      <c r="BZ3" s="1" t="s">
        <v>150</v>
      </c>
    </row>
    <row r="4" spans="1:78">
      <c r="A4" s="1" t="s">
        <v>151</v>
      </c>
      <c r="B4" s="7" t="s">
        <v>152</v>
      </c>
      <c r="C4" s="7" t="s">
        <v>80</v>
      </c>
      <c r="D4" s="7" t="s">
        <v>81</v>
      </c>
      <c r="E4" s="7" t="s">
        <v>80</v>
      </c>
      <c r="F4" s="7" t="s">
        <v>82</v>
      </c>
      <c r="G4" s="1" t="s">
        <v>80</v>
      </c>
      <c r="H4" s="1" t="s">
        <v>80</v>
      </c>
      <c r="I4" s="1" t="s">
        <v>81</v>
      </c>
      <c r="J4" s="1" t="s">
        <v>81</v>
      </c>
      <c r="K4" s="1" t="s">
        <v>83</v>
      </c>
      <c r="L4" s="7" t="s">
        <v>153</v>
      </c>
      <c r="M4" s="1" t="s">
        <v>120</v>
      </c>
      <c r="N4" s="1" t="s">
        <v>86</v>
      </c>
      <c r="O4" s="1" t="s">
        <v>154</v>
      </c>
      <c r="P4" s="1" t="s">
        <v>155</v>
      </c>
      <c r="Q4" s="1">
        <v>2</v>
      </c>
      <c r="R4" s="1">
        <v>0</v>
      </c>
      <c r="S4" s="1" t="s">
        <v>156</v>
      </c>
      <c r="T4" s="1" t="s">
        <v>157</v>
      </c>
      <c r="U4" s="1" t="s">
        <v>158</v>
      </c>
      <c r="V4" s="1" t="s">
        <v>159</v>
      </c>
      <c r="W4" s="1" t="s">
        <v>160</v>
      </c>
      <c r="X4" s="1" t="s">
        <v>161</v>
      </c>
      <c r="Y4" s="1" t="s">
        <v>162</v>
      </c>
      <c r="Z4" s="1" t="s">
        <v>163</v>
      </c>
      <c r="AA4" s="1" t="s">
        <v>164</v>
      </c>
      <c r="AB4" s="1" t="s">
        <v>165</v>
      </c>
      <c r="AC4" s="1" t="s">
        <v>133</v>
      </c>
      <c r="AD4" s="1" t="s">
        <v>166</v>
      </c>
      <c r="AE4" s="1" t="s">
        <v>167</v>
      </c>
      <c r="AF4" s="1" t="s">
        <v>168</v>
      </c>
      <c r="AG4" s="1" t="s">
        <v>169</v>
      </c>
      <c r="AH4" s="1" t="s">
        <v>170</v>
      </c>
      <c r="AI4" s="1"/>
      <c r="AJ4" s="1"/>
      <c r="AK4" s="1"/>
      <c r="AL4" s="1"/>
      <c r="AM4" s="1"/>
      <c r="AN4" s="1"/>
      <c r="AO4" s="1" t="s">
        <v>171</v>
      </c>
      <c r="AP4" s="1" t="s">
        <v>172</v>
      </c>
      <c r="AQ4" s="8" t="s">
        <v>173</v>
      </c>
      <c r="AR4" s="7" t="s">
        <v>152</v>
      </c>
      <c r="AS4" s="8">
        <v>20501</v>
      </c>
      <c r="AT4" s="1" t="s">
        <v>174</v>
      </c>
      <c r="AU4" s="1" t="s">
        <v>175</v>
      </c>
      <c r="AV4" s="7" t="s">
        <v>80</v>
      </c>
      <c r="AW4" s="1"/>
      <c r="AX4" s="1"/>
      <c r="AY4" s="8"/>
      <c r="AZ4" s="7"/>
      <c r="BA4" s="8"/>
      <c r="BB4" s="1" t="s">
        <v>81</v>
      </c>
      <c r="BC4" s="1">
        <v>2018</v>
      </c>
      <c r="BD4" s="1" t="s">
        <v>176</v>
      </c>
      <c r="BE4" s="1"/>
      <c r="BF4" s="1" t="s">
        <v>80</v>
      </c>
      <c r="BG4" s="2" t="s">
        <v>177</v>
      </c>
      <c r="BH4" s="1" t="s">
        <v>178</v>
      </c>
      <c r="BI4" s="1" t="s">
        <v>80</v>
      </c>
      <c r="BJ4" s="1">
        <v>8</v>
      </c>
      <c r="BK4" s="1" t="s">
        <v>179</v>
      </c>
      <c r="BL4" s="1" t="s">
        <v>171</v>
      </c>
      <c r="BM4" s="1" t="s">
        <v>172</v>
      </c>
      <c r="BN4" s="8" t="s">
        <v>173</v>
      </c>
      <c r="BO4" s="7" t="s">
        <v>152</v>
      </c>
      <c r="BP4" s="8">
        <v>20501</v>
      </c>
      <c r="BQ4" s="1" t="s">
        <v>80</v>
      </c>
      <c r="BR4" s="11" t="s">
        <v>180</v>
      </c>
      <c r="BS4" s="11" t="s">
        <v>181</v>
      </c>
      <c r="BT4" s="11" t="s">
        <v>182</v>
      </c>
      <c r="BU4" s="11" t="s">
        <v>183</v>
      </c>
      <c r="BV4" s="11" t="s">
        <v>184</v>
      </c>
      <c r="BW4" s="11" t="s">
        <v>81</v>
      </c>
      <c r="BX4" s="1" t="s">
        <v>185</v>
      </c>
      <c r="BY4" s="1" t="s">
        <v>186</v>
      </c>
      <c r="BZ4" s="1" t="s">
        <v>187</v>
      </c>
    </row>
    <row r="5" spans="1:78">
      <c r="A5" s="1" t="s">
        <v>188</v>
      </c>
      <c r="B5" s="7" t="s">
        <v>117</v>
      </c>
      <c r="C5" s="7" t="s">
        <v>80</v>
      </c>
      <c r="D5" s="7" t="s">
        <v>81</v>
      </c>
      <c r="E5" s="7" t="s">
        <v>80</v>
      </c>
      <c r="F5" s="7" t="s">
        <v>118</v>
      </c>
      <c r="G5" s="1" t="s">
        <v>80</v>
      </c>
      <c r="H5" s="1" t="s">
        <v>80</v>
      </c>
      <c r="I5" s="1" t="s">
        <v>81</v>
      </c>
      <c r="J5" s="1" t="s">
        <v>81</v>
      </c>
      <c r="K5" s="1" t="s">
        <v>83</v>
      </c>
      <c r="L5" s="7" t="s">
        <v>189</v>
      </c>
      <c r="M5" s="1" t="s">
        <v>190</v>
      </c>
      <c r="N5" s="1" t="s">
        <v>86</v>
      </c>
      <c r="O5" s="1" t="s">
        <v>191</v>
      </c>
      <c r="P5" s="1" t="s">
        <v>192</v>
      </c>
      <c r="Q5" s="1">
        <v>0</v>
      </c>
      <c r="R5" s="1">
        <v>25</v>
      </c>
      <c r="S5" s="1" t="s">
        <v>193</v>
      </c>
      <c r="T5" s="1" t="s">
        <v>194</v>
      </c>
      <c r="U5" s="1" t="s">
        <v>195</v>
      </c>
      <c r="V5" s="1" t="s">
        <v>196</v>
      </c>
      <c r="W5" s="1" t="s">
        <v>197</v>
      </c>
      <c r="X5" s="1" t="s">
        <v>198</v>
      </c>
      <c r="Y5" s="1" t="s">
        <v>199</v>
      </c>
      <c r="Z5" s="1" t="s">
        <v>200</v>
      </c>
      <c r="AA5" s="1" t="s">
        <v>201</v>
      </c>
      <c r="AB5" s="1" t="s">
        <v>202</v>
      </c>
      <c r="AC5" s="1" t="s">
        <v>203</v>
      </c>
      <c r="AD5" s="1">
        <v>57701</v>
      </c>
      <c r="AE5" s="1" t="s">
        <v>204</v>
      </c>
      <c r="AF5" s="1" t="s">
        <v>205</v>
      </c>
      <c r="AG5" s="1" t="s">
        <v>206</v>
      </c>
      <c r="AH5" s="1" t="s">
        <v>207</v>
      </c>
      <c r="AI5" s="1"/>
      <c r="AJ5" s="1"/>
      <c r="AK5" s="1"/>
      <c r="AL5" s="1"/>
      <c r="AM5" s="1"/>
      <c r="AN5" s="1"/>
      <c r="AO5" s="1" t="s">
        <v>208</v>
      </c>
      <c r="AP5" s="1"/>
      <c r="AQ5" s="7" t="s">
        <v>141</v>
      </c>
      <c r="AR5" s="7" t="s">
        <v>117</v>
      </c>
      <c r="AS5" s="8">
        <v>19182</v>
      </c>
      <c r="AT5" s="1" t="s">
        <v>209</v>
      </c>
      <c r="AU5" s="1" t="s">
        <v>210</v>
      </c>
      <c r="AV5" s="7" t="s">
        <v>80</v>
      </c>
      <c r="AW5" s="9"/>
      <c r="AX5" s="9"/>
      <c r="AY5" s="9"/>
      <c r="AZ5" s="9"/>
      <c r="BA5" s="9"/>
      <c r="BB5" s="1" t="s">
        <v>81</v>
      </c>
      <c r="BC5" s="1">
        <v>2009</v>
      </c>
      <c r="BD5" s="10" t="s">
        <v>109</v>
      </c>
      <c r="BE5" s="1"/>
      <c r="BF5" s="1" t="s">
        <v>81</v>
      </c>
      <c r="BG5" s="2" t="s">
        <v>211</v>
      </c>
      <c r="BH5" s="1" t="s">
        <v>212</v>
      </c>
      <c r="BI5" s="1" t="s">
        <v>80</v>
      </c>
      <c r="BJ5" s="1">
        <v>17</v>
      </c>
      <c r="BK5" s="1" t="s">
        <v>213</v>
      </c>
      <c r="BL5" s="1" t="s">
        <v>208</v>
      </c>
      <c r="BM5" s="1"/>
      <c r="BN5" s="7" t="s">
        <v>141</v>
      </c>
      <c r="BO5" s="7" t="s">
        <v>117</v>
      </c>
      <c r="BP5" s="8">
        <v>19182</v>
      </c>
      <c r="BQ5" s="1" t="s">
        <v>81</v>
      </c>
      <c r="BR5" s="1"/>
      <c r="BS5" s="1"/>
      <c r="BT5" s="1"/>
      <c r="BU5" s="1"/>
      <c r="BV5" s="1"/>
      <c r="BW5" s="11" t="s">
        <v>81</v>
      </c>
      <c r="BX5" s="1" t="s">
        <v>214</v>
      </c>
      <c r="BY5" s="1" t="s">
        <v>215</v>
      </c>
      <c r="BZ5" s="1" t="s">
        <v>216</v>
      </c>
    </row>
    <row r="6" spans="1:78">
      <c r="A6" s="1" t="s">
        <v>217</v>
      </c>
      <c r="B6" s="7" t="s">
        <v>218</v>
      </c>
      <c r="C6" s="7" t="s">
        <v>80</v>
      </c>
      <c r="D6" s="7" t="s">
        <v>81</v>
      </c>
      <c r="E6" s="7" t="s">
        <v>80</v>
      </c>
      <c r="F6" s="7" t="s">
        <v>82</v>
      </c>
      <c r="G6" s="1" t="s">
        <v>80</v>
      </c>
      <c r="H6" s="1" t="s">
        <v>80</v>
      </c>
      <c r="I6" s="1" t="s">
        <v>81</v>
      </c>
      <c r="J6" s="1" t="s">
        <v>81</v>
      </c>
      <c r="K6" s="1" t="s">
        <v>83</v>
      </c>
      <c r="L6" s="7" t="s">
        <v>219</v>
      </c>
      <c r="M6" s="1" t="s">
        <v>220</v>
      </c>
      <c r="N6" s="1" t="s">
        <v>86</v>
      </c>
      <c r="O6" s="1" t="s">
        <v>88</v>
      </c>
      <c r="P6" s="1" t="s">
        <v>221</v>
      </c>
      <c r="Q6" s="1">
        <v>4</v>
      </c>
      <c r="R6" s="1">
        <v>0</v>
      </c>
      <c r="S6" s="1" t="s">
        <v>222</v>
      </c>
      <c r="T6" s="1" t="s">
        <v>223</v>
      </c>
      <c r="U6" s="1" t="s">
        <v>224</v>
      </c>
      <c r="V6" s="1" t="s">
        <v>225</v>
      </c>
      <c r="W6" s="1" t="s">
        <v>226</v>
      </c>
      <c r="X6" s="1" t="s">
        <v>227</v>
      </c>
      <c r="Y6" s="1" t="s">
        <v>228</v>
      </c>
      <c r="Z6" s="1" t="s">
        <v>229</v>
      </c>
      <c r="AA6" s="1" t="s">
        <v>230</v>
      </c>
      <c r="AB6" s="1" t="s">
        <v>231</v>
      </c>
      <c r="AC6" s="1" t="s">
        <v>232</v>
      </c>
      <c r="AD6" s="1">
        <v>37902</v>
      </c>
      <c r="AE6" s="1" t="s">
        <v>233</v>
      </c>
      <c r="AF6" s="1" t="s">
        <v>234</v>
      </c>
      <c r="AG6" s="1" t="s">
        <v>235</v>
      </c>
      <c r="AH6" s="1" t="s">
        <v>236</v>
      </c>
      <c r="AI6" s="1" t="s">
        <v>237</v>
      </c>
      <c r="AJ6" s="1" t="s">
        <v>238</v>
      </c>
      <c r="AK6" s="1" t="s">
        <v>239</v>
      </c>
      <c r="AL6" s="7" t="s">
        <v>240</v>
      </c>
      <c r="AM6" s="7" t="s">
        <v>241</v>
      </c>
      <c r="AN6" s="7">
        <v>25242</v>
      </c>
      <c r="AO6" s="1" t="s">
        <v>242</v>
      </c>
      <c r="AP6" s="1" t="s">
        <v>243</v>
      </c>
      <c r="AQ6" s="7" t="s">
        <v>244</v>
      </c>
      <c r="AR6" s="7" t="s">
        <v>245</v>
      </c>
      <c r="AS6" s="8">
        <v>27405</v>
      </c>
      <c r="AT6" s="1" t="s">
        <v>246</v>
      </c>
      <c r="AU6" s="1" t="s">
        <v>247</v>
      </c>
      <c r="AV6" s="7" t="s">
        <v>80</v>
      </c>
      <c r="AW6" s="9"/>
      <c r="AX6" s="9"/>
      <c r="AY6" s="9"/>
      <c r="AZ6" s="9"/>
      <c r="BA6" s="9"/>
      <c r="BB6" s="1" t="s">
        <v>81</v>
      </c>
      <c r="BC6" s="1">
        <v>2015</v>
      </c>
      <c r="BD6" s="1" t="s">
        <v>248</v>
      </c>
      <c r="BE6" s="1"/>
      <c r="BF6" s="1"/>
      <c r="BG6" s="2" t="s">
        <v>249</v>
      </c>
      <c r="BH6" s="1" t="s">
        <v>111</v>
      </c>
      <c r="BI6" s="1" t="s">
        <v>81</v>
      </c>
      <c r="BJ6" s="1">
        <v>11</v>
      </c>
      <c r="BK6" s="1" t="s">
        <v>250</v>
      </c>
      <c r="BL6" s="1" t="s">
        <v>242</v>
      </c>
      <c r="BM6" s="1" t="s">
        <v>243</v>
      </c>
      <c r="BN6" s="7" t="s">
        <v>244</v>
      </c>
      <c r="BO6" s="7" t="s">
        <v>245</v>
      </c>
      <c r="BP6" s="8">
        <v>27405</v>
      </c>
      <c r="BQ6" s="1" t="s">
        <v>81</v>
      </c>
      <c r="BR6" s="1"/>
      <c r="BS6" s="1"/>
      <c r="BT6" s="1"/>
      <c r="BU6" s="1"/>
      <c r="BV6" s="1"/>
      <c r="BW6" s="11" t="s">
        <v>80</v>
      </c>
    </row>
    <row r="7" spans="1:78">
      <c r="A7" s="1" t="s">
        <v>251</v>
      </c>
      <c r="B7" s="7" t="s">
        <v>241</v>
      </c>
      <c r="C7" s="7" t="s">
        <v>80</v>
      </c>
      <c r="D7" s="7" t="s">
        <v>81</v>
      </c>
      <c r="E7" s="7" t="s">
        <v>80</v>
      </c>
      <c r="F7" s="7" t="s">
        <v>118</v>
      </c>
      <c r="G7" s="1" t="s">
        <v>80</v>
      </c>
      <c r="H7" s="1" t="s">
        <v>80</v>
      </c>
      <c r="I7" s="1" t="s">
        <v>81</v>
      </c>
      <c r="J7" s="1" t="s">
        <v>81</v>
      </c>
      <c r="K7" s="1" t="s">
        <v>83</v>
      </c>
      <c r="L7" s="7" t="s">
        <v>252</v>
      </c>
      <c r="M7" s="1" t="s">
        <v>253</v>
      </c>
      <c r="N7" s="1" t="s">
        <v>86</v>
      </c>
      <c r="O7" s="1" t="s">
        <v>122</v>
      </c>
      <c r="P7" s="1" t="s">
        <v>254</v>
      </c>
      <c r="Q7" s="1">
        <v>0</v>
      </c>
      <c r="R7" s="1">
        <v>2</v>
      </c>
      <c r="S7" s="1" t="s">
        <v>255</v>
      </c>
      <c r="T7" s="1" t="s">
        <v>256</v>
      </c>
      <c r="U7" s="1" t="s">
        <v>257</v>
      </c>
      <c r="V7" s="1" t="s">
        <v>258</v>
      </c>
      <c r="W7" s="1" t="s">
        <v>259</v>
      </c>
      <c r="X7" s="1" t="s">
        <v>260</v>
      </c>
      <c r="Y7" s="1" t="s">
        <v>261</v>
      </c>
      <c r="Z7" s="1" t="s">
        <v>262</v>
      </c>
      <c r="AA7" s="1" t="s">
        <v>263</v>
      </c>
      <c r="AB7" s="1" t="s">
        <v>264</v>
      </c>
      <c r="AC7" s="1" t="s">
        <v>232</v>
      </c>
      <c r="AD7" s="1">
        <v>37203</v>
      </c>
      <c r="AE7" s="1" t="s">
        <v>265</v>
      </c>
      <c r="AF7" s="1" t="s">
        <v>266</v>
      </c>
      <c r="AG7" s="1" t="s">
        <v>267</v>
      </c>
      <c r="AH7" s="1" t="s">
        <v>268</v>
      </c>
      <c r="AI7" s="1"/>
      <c r="AJ7" s="1"/>
      <c r="AK7" s="1"/>
      <c r="AL7" s="1"/>
      <c r="AM7" s="1"/>
      <c r="AN7" s="1"/>
      <c r="AO7" s="1" t="s">
        <v>269</v>
      </c>
      <c r="AP7" s="1"/>
      <c r="AQ7" s="7" t="s">
        <v>270</v>
      </c>
      <c r="AR7" s="7" t="s">
        <v>241</v>
      </c>
      <c r="AS7" s="7">
        <v>25098</v>
      </c>
      <c r="AT7" s="1" t="s">
        <v>271</v>
      </c>
      <c r="AU7" s="1" t="s">
        <v>272</v>
      </c>
      <c r="AV7" s="7" t="s">
        <v>80</v>
      </c>
      <c r="AW7" s="9"/>
      <c r="AX7" s="9"/>
      <c r="AY7" s="9"/>
      <c r="AZ7" s="9"/>
      <c r="BA7" s="9"/>
      <c r="BB7" s="1" t="s">
        <v>81</v>
      </c>
      <c r="BC7" s="1">
        <v>2011</v>
      </c>
      <c r="BD7" s="1" t="s">
        <v>273</v>
      </c>
      <c r="BE7" s="1" t="s">
        <v>274</v>
      </c>
      <c r="BF7" s="1"/>
      <c r="BG7" s="2" t="s">
        <v>275</v>
      </c>
      <c r="BH7" s="1" t="s">
        <v>146</v>
      </c>
      <c r="BI7" s="1" t="s">
        <v>80</v>
      </c>
      <c r="BJ7" s="1">
        <v>15</v>
      </c>
      <c r="BK7" s="1" t="s">
        <v>276</v>
      </c>
      <c r="BL7" s="1" t="s">
        <v>269</v>
      </c>
      <c r="BM7" s="1"/>
      <c r="BN7" s="7" t="s">
        <v>270</v>
      </c>
      <c r="BO7" s="7" t="s">
        <v>241</v>
      </c>
      <c r="BP7" s="7">
        <v>25098</v>
      </c>
      <c r="BQ7" s="1" t="s">
        <v>81</v>
      </c>
      <c r="BR7" s="1"/>
      <c r="BS7" s="1"/>
      <c r="BT7" s="1"/>
      <c r="BU7" s="1"/>
      <c r="BV7" s="1"/>
      <c r="BW7" s="11" t="s">
        <v>81</v>
      </c>
      <c r="BX7" s="1" t="s">
        <v>277</v>
      </c>
      <c r="BY7" s="1" t="s">
        <v>278</v>
      </c>
      <c r="BZ7" s="1" t="s">
        <v>279</v>
      </c>
    </row>
    <row r="8" spans="1:78">
      <c r="A8" s="1" t="s">
        <v>280</v>
      </c>
      <c r="B8" s="7" t="s">
        <v>281</v>
      </c>
      <c r="C8" s="7" t="s">
        <v>80</v>
      </c>
      <c r="D8" s="7" t="s">
        <v>81</v>
      </c>
      <c r="E8" s="7" t="s">
        <v>80</v>
      </c>
      <c r="F8" s="7" t="s">
        <v>82</v>
      </c>
      <c r="G8" s="1" t="s">
        <v>80</v>
      </c>
      <c r="H8" s="1" t="s">
        <v>80</v>
      </c>
      <c r="I8" s="1" t="s">
        <v>81</v>
      </c>
      <c r="J8" s="1" t="s">
        <v>81</v>
      </c>
      <c r="K8" s="1" t="s">
        <v>83</v>
      </c>
      <c r="L8" s="7" t="s">
        <v>282</v>
      </c>
      <c r="M8" s="1" t="s">
        <v>283</v>
      </c>
      <c r="N8" s="1" t="s">
        <v>86</v>
      </c>
      <c r="O8" s="1" t="s">
        <v>155</v>
      </c>
      <c r="P8" s="1" t="s">
        <v>88</v>
      </c>
      <c r="Q8" s="1">
        <v>1</v>
      </c>
      <c r="R8" s="1">
        <v>0</v>
      </c>
      <c r="S8" s="1" t="s">
        <v>284</v>
      </c>
      <c r="T8" s="1" t="s">
        <v>285</v>
      </c>
      <c r="U8" s="1" t="s">
        <v>286</v>
      </c>
      <c r="V8" s="1" t="s">
        <v>287</v>
      </c>
      <c r="W8" s="1" t="s">
        <v>288</v>
      </c>
      <c r="X8" s="1" t="s">
        <v>289</v>
      </c>
      <c r="Y8" s="1" t="s">
        <v>290</v>
      </c>
      <c r="Z8" s="1" t="s">
        <v>291</v>
      </c>
      <c r="AA8" s="1" t="s">
        <v>292</v>
      </c>
      <c r="AB8" s="1" t="s">
        <v>293</v>
      </c>
      <c r="AC8" s="1" t="s">
        <v>294</v>
      </c>
      <c r="AD8" s="1">
        <v>84601</v>
      </c>
      <c r="AE8" s="1" t="s">
        <v>295</v>
      </c>
      <c r="AF8" s="1" t="s">
        <v>296</v>
      </c>
      <c r="AG8" s="1" t="s">
        <v>297</v>
      </c>
      <c r="AH8" s="1" t="s">
        <v>298</v>
      </c>
      <c r="AI8" s="1"/>
      <c r="AJ8" s="1"/>
      <c r="AK8" s="1"/>
      <c r="AL8" s="1"/>
      <c r="AM8" s="1"/>
      <c r="AN8" s="1"/>
      <c r="AO8" s="1" t="s">
        <v>299</v>
      </c>
      <c r="AP8" s="1" t="s">
        <v>300</v>
      </c>
      <c r="AQ8" s="8" t="s">
        <v>301</v>
      </c>
      <c r="AR8" s="7" t="s">
        <v>281</v>
      </c>
      <c r="AS8" s="8">
        <v>22572</v>
      </c>
      <c r="AT8" s="1" t="s">
        <v>302</v>
      </c>
      <c r="AU8" s="1" t="s">
        <v>303</v>
      </c>
      <c r="AV8" s="7" t="s">
        <v>80</v>
      </c>
      <c r="AW8" s="9"/>
      <c r="AX8" s="9"/>
      <c r="AY8" s="9"/>
      <c r="AZ8" s="9"/>
      <c r="BA8" s="9"/>
      <c r="BB8" s="1" t="s">
        <v>81</v>
      </c>
      <c r="BC8" s="1">
        <v>2014</v>
      </c>
      <c r="BD8" s="1" t="s">
        <v>176</v>
      </c>
      <c r="BE8" s="1"/>
      <c r="BF8" s="1" t="s">
        <v>80</v>
      </c>
      <c r="BG8" s="2" t="s">
        <v>304</v>
      </c>
      <c r="BH8" s="1" t="s">
        <v>178</v>
      </c>
      <c r="BI8" s="1" t="s">
        <v>80</v>
      </c>
      <c r="BJ8" s="1">
        <v>12</v>
      </c>
      <c r="BK8" s="1" t="s">
        <v>305</v>
      </c>
      <c r="BL8" s="1" t="s">
        <v>299</v>
      </c>
      <c r="BM8" s="1" t="s">
        <v>300</v>
      </c>
      <c r="BN8" s="8" t="s">
        <v>301</v>
      </c>
      <c r="BO8" s="7" t="s">
        <v>281</v>
      </c>
      <c r="BP8" s="8">
        <v>22572</v>
      </c>
      <c r="BQ8" s="1" t="s">
        <v>81</v>
      </c>
      <c r="BR8" s="1"/>
      <c r="BS8" s="1"/>
      <c r="BT8" s="1"/>
      <c r="BU8" s="1"/>
      <c r="BV8" s="1"/>
      <c r="BW8" s="11" t="s">
        <v>81</v>
      </c>
      <c r="BX8" s="1" t="s">
        <v>306</v>
      </c>
      <c r="BY8" s="1" t="s">
        <v>307</v>
      </c>
      <c r="BZ8" s="1" t="s">
        <v>308</v>
      </c>
    </row>
    <row r="9" spans="1:78">
      <c r="A9" s="1" t="s">
        <v>309</v>
      </c>
      <c r="B9" s="7" t="s">
        <v>310</v>
      </c>
      <c r="C9" s="7" t="s">
        <v>80</v>
      </c>
      <c r="D9" s="7" t="s">
        <v>81</v>
      </c>
      <c r="E9" s="7" t="s">
        <v>80</v>
      </c>
      <c r="F9" s="7" t="s">
        <v>118</v>
      </c>
      <c r="G9" s="1" t="s">
        <v>80</v>
      </c>
      <c r="H9" s="1" t="s">
        <v>80</v>
      </c>
      <c r="I9" s="1" t="s">
        <v>81</v>
      </c>
      <c r="J9" s="1" t="s">
        <v>81</v>
      </c>
      <c r="K9" s="1" t="s">
        <v>83</v>
      </c>
      <c r="L9" s="7" t="s">
        <v>311</v>
      </c>
      <c r="M9" s="1" t="s">
        <v>312</v>
      </c>
      <c r="N9" s="1" t="s">
        <v>86</v>
      </c>
      <c r="O9" s="1" t="s">
        <v>192</v>
      </c>
      <c r="P9" s="1" t="s">
        <v>122</v>
      </c>
      <c r="Q9" s="1">
        <v>0</v>
      </c>
      <c r="R9" s="1">
        <v>4</v>
      </c>
      <c r="S9" s="1" t="s">
        <v>313</v>
      </c>
      <c r="T9" s="1" t="s">
        <v>314</v>
      </c>
      <c r="U9" s="1" t="s">
        <v>315</v>
      </c>
      <c r="V9" s="1" t="s">
        <v>316</v>
      </c>
      <c r="W9" s="1" t="s">
        <v>317</v>
      </c>
      <c r="X9" s="1" t="s">
        <v>318</v>
      </c>
      <c r="Y9" s="1" t="s">
        <v>319</v>
      </c>
      <c r="Z9" s="1" t="s">
        <v>320</v>
      </c>
      <c r="AA9" s="1" t="s">
        <v>321</v>
      </c>
      <c r="AB9" s="1" t="s">
        <v>322</v>
      </c>
      <c r="AC9" s="1" t="s">
        <v>323</v>
      </c>
      <c r="AD9" s="1" t="s">
        <v>324</v>
      </c>
      <c r="AE9" s="1" t="s">
        <v>325</v>
      </c>
      <c r="AF9" s="1" t="s">
        <v>326</v>
      </c>
      <c r="AG9" s="1" t="s">
        <v>327</v>
      </c>
      <c r="AH9" s="1" t="s">
        <v>103</v>
      </c>
      <c r="AI9" s="1"/>
      <c r="AJ9" s="1"/>
      <c r="AK9" s="1"/>
      <c r="AL9" s="1"/>
      <c r="AM9" s="1"/>
      <c r="AN9" s="1"/>
      <c r="AO9" s="1" t="s">
        <v>328</v>
      </c>
      <c r="AP9" s="1" t="s">
        <v>329</v>
      </c>
      <c r="AQ9" s="8" t="s">
        <v>330</v>
      </c>
      <c r="AR9" s="7" t="s">
        <v>310</v>
      </c>
      <c r="AS9" s="8">
        <v>19701</v>
      </c>
      <c r="AT9" s="1" t="s">
        <v>331</v>
      </c>
      <c r="AU9" s="1" t="s">
        <v>332</v>
      </c>
      <c r="AV9" s="7" t="s">
        <v>81</v>
      </c>
      <c r="AW9" s="1" t="s">
        <v>171</v>
      </c>
      <c r="AX9" s="1" t="s">
        <v>172</v>
      </c>
      <c r="AY9" s="8" t="s">
        <v>333</v>
      </c>
      <c r="AZ9" s="7" t="s">
        <v>310</v>
      </c>
      <c r="BA9" s="8">
        <v>19805</v>
      </c>
      <c r="BB9" s="1" t="s">
        <v>81</v>
      </c>
      <c r="BC9" s="1">
        <v>2020</v>
      </c>
      <c r="BD9" s="10" t="s">
        <v>109</v>
      </c>
      <c r="BE9" s="1"/>
      <c r="BF9" s="1" t="s">
        <v>81</v>
      </c>
      <c r="BG9" s="2" t="s">
        <v>334</v>
      </c>
      <c r="BH9" s="1" t="s">
        <v>212</v>
      </c>
      <c r="BI9" s="1" t="s">
        <v>80</v>
      </c>
      <c r="BJ9" s="1">
        <v>6</v>
      </c>
      <c r="BK9" s="1" t="s">
        <v>335</v>
      </c>
      <c r="BL9" s="1" t="s">
        <v>328</v>
      </c>
      <c r="BM9" s="1" t="s">
        <v>329</v>
      </c>
      <c r="BN9" s="8" t="s">
        <v>330</v>
      </c>
      <c r="BO9" s="7" t="s">
        <v>310</v>
      </c>
      <c r="BP9" s="8">
        <v>19701</v>
      </c>
      <c r="BQ9" s="1" t="s">
        <v>81</v>
      </c>
      <c r="BR9" s="1"/>
      <c r="BS9" s="1"/>
      <c r="BT9" s="1"/>
      <c r="BU9" s="1"/>
      <c r="BV9" s="1"/>
      <c r="BW9" s="11" t="s">
        <v>81</v>
      </c>
      <c r="BX9" s="1" t="s">
        <v>336</v>
      </c>
      <c r="BY9" s="1" t="s">
        <v>337</v>
      </c>
      <c r="BZ9" s="1" t="s">
        <v>338</v>
      </c>
    </row>
    <row r="10" spans="1:78">
      <c r="A10" s="1" t="s">
        <v>339</v>
      </c>
      <c r="B10" s="7" t="s">
        <v>79</v>
      </c>
      <c r="C10" s="7" t="s">
        <v>80</v>
      </c>
      <c r="D10" s="7" t="s">
        <v>81</v>
      </c>
      <c r="E10" s="7" t="s">
        <v>80</v>
      </c>
      <c r="F10" s="7" t="s">
        <v>82</v>
      </c>
      <c r="G10" s="1" t="s">
        <v>80</v>
      </c>
      <c r="H10" s="1" t="s">
        <v>80</v>
      </c>
      <c r="I10" s="1" t="s">
        <v>81</v>
      </c>
      <c r="J10" s="1" t="s">
        <v>81</v>
      </c>
      <c r="K10" s="1" t="s">
        <v>83</v>
      </c>
      <c r="L10" s="7" t="s">
        <v>340</v>
      </c>
      <c r="M10" s="1" t="s">
        <v>220</v>
      </c>
      <c r="N10" s="1" t="s">
        <v>86</v>
      </c>
      <c r="O10" s="1" t="s">
        <v>221</v>
      </c>
      <c r="P10" s="1" t="s">
        <v>155</v>
      </c>
      <c r="Q10" s="1">
        <v>3</v>
      </c>
      <c r="R10" s="1">
        <v>0</v>
      </c>
      <c r="S10" s="1" t="s">
        <v>341</v>
      </c>
      <c r="T10" s="1" t="s">
        <v>342</v>
      </c>
      <c r="U10" s="1" t="s">
        <v>343</v>
      </c>
      <c r="V10" s="1" t="s">
        <v>344</v>
      </c>
      <c r="W10" s="1" t="s">
        <v>345</v>
      </c>
      <c r="X10" s="1" t="s">
        <v>346</v>
      </c>
      <c r="Y10" s="1" t="s">
        <v>347</v>
      </c>
      <c r="Z10" s="1" t="s">
        <v>348</v>
      </c>
      <c r="AA10" s="1" t="s">
        <v>349</v>
      </c>
      <c r="AB10" s="1" t="s">
        <v>350</v>
      </c>
      <c r="AC10" s="1" t="s">
        <v>281</v>
      </c>
      <c r="AD10" s="1">
        <v>23219</v>
      </c>
      <c r="AE10" s="1" t="s">
        <v>351</v>
      </c>
      <c r="AF10" s="1" t="s">
        <v>352</v>
      </c>
      <c r="AG10" s="1" t="s">
        <v>353</v>
      </c>
      <c r="AH10" s="1" t="s">
        <v>138</v>
      </c>
      <c r="AI10" s="1"/>
      <c r="AJ10" s="1"/>
      <c r="AK10" s="1"/>
      <c r="AL10" s="1"/>
      <c r="AM10" s="1"/>
      <c r="AN10" s="1"/>
      <c r="AO10" s="1" t="s">
        <v>354</v>
      </c>
      <c r="AP10" s="1" t="s">
        <v>355</v>
      </c>
      <c r="AQ10" s="7" t="s">
        <v>356</v>
      </c>
      <c r="AR10" s="7" t="s">
        <v>79</v>
      </c>
      <c r="AS10" s="8">
        <v>20717</v>
      </c>
      <c r="AT10" s="1" t="s">
        <v>357</v>
      </c>
      <c r="AU10" s="1" t="s">
        <v>358</v>
      </c>
      <c r="AV10" s="7" t="s">
        <v>80</v>
      </c>
      <c r="AW10" s="9"/>
      <c r="AX10" s="9"/>
      <c r="AY10" s="9"/>
      <c r="AZ10" s="9"/>
      <c r="BA10" s="9"/>
      <c r="BB10" s="1" t="s">
        <v>81</v>
      </c>
      <c r="BC10" s="1">
        <v>2013</v>
      </c>
      <c r="BD10" s="1" t="s">
        <v>144</v>
      </c>
      <c r="BE10" s="1"/>
      <c r="BF10" s="1" t="s">
        <v>81</v>
      </c>
      <c r="BG10" s="2" t="s">
        <v>359</v>
      </c>
      <c r="BH10" s="1" t="s">
        <v>111</v>
      </c>
      <c r="BI10" s="1" t="s">
        <v>81</v>
      </c>
      <c r="BJ10" s="1">
        <v>13</v>
      </c>
      <c r="BK10" s="1" t="s">
        <v>360</v>
      </c>
      <c r="BL10" s="1" t="s">
        <v>354</v>
      </c>
      <c r="BM10" s="1" t="s">
        <v>355</v>
      </c>
      <c r="BN10" s="7" t="s">
        <v>356</v>
      </c>
      <c r="BO10" s="7" t="s">
        <v>79</v>
      </c>
      <c r="BP10" s="8">
        <v>20717</v>
      </c>
      <c r="BQ10" s="1" t="s">
        <v>80</v>
      </c>
      <c r="BR10" s="11" t="s">
        <v>361</v>
      </c>
      <c r="BS10" s="11" t="s">
        <v>362</v>
      </c>
      <c r="BT10" s="11" t="s">
        <v>363</v>
      </c>
      <c r="BU10" s="11" t="s">
        <v>364</v>
      </c>
      <c r="BV10" s="11" t="s">
        <v>365</v>
      </c>
      <c r="BW10" s="11" t="s">
        <v>81</v>
      </c>
      <c r="BX10" s="1" t="s">
        <v>366</v>
      </c>
      <c r="BY10" s="1" t="s">
        <v>367</v>
      </c>
      <c r="BZ10" s="1" t="s">
        <v>368</v>
      </c>
    </row>
    <row r="11" spans="1:78">
      <c r="A11" s="1" t="s">
        <v>369</v>
      </c>
      <c r="B11" s="7" t="s">
        <v>241</v>
      </c>
      <c r="C11" s="7" t="s">
        <v>80</v>
      </c>
      <c r="D11" s="7" t="s">
        <v>81</v>
      </c>
      <c r="E11" s="7" t="s">
        <v>80</v>
      </c>
      <c r="F11" s="7" t="s">
        <v>118</v>
      </c>
      <c r="G11" s="1" t="s">
        <v>80</v>
      </c>
      <c r="H11" s="1" t="s">
        <v>80</v>
      </c>
      <c r="I11" s="1" t="s">
        <v>81</v>
      </c>
      <c r="J11" s="1" t="s">
        <v>81</v>
      </c>
      <c r="K11" s="1" t="s">
        <v>83</v>
      </c>
      <c r="L11" s="7" t="s">
        <v>370</v>
      </c>
      <c r="M11" s="1" t="s">
        <v>371</v>
      </c>
      <c r="N11" s="1" t="s">
        <v>86</v>
      </c>
      <c r="O11" s="1" t="s">
        <v>254</v>
      </c>
      <c r="P11" s="1" t="s">
        <v>192</v>
      </c>
      <c r="Q11" s="1">
        <v>0</v>
      </c>
      <c r="R11" s="1">
        <v>1</v>
      </c>
      <c r="S11" s="1" t="s">
        <v>372</v>
      </c>
      <c r="T11" s="1" t="s">
        <v>373</v>
      </c>
      <c r="U11" s="1" t="s">
        <v>374</v>
      </c>
      <c r="V11" s="1" t="s">
        <v>148</v>
      </c>
      <c r="W11" s="1" t="s">
        <v>375</v>
      </c>
      <c r="X11" s="1" t="s">
        <v>376</v>
      </c>
      <c r="Y11" s="1" t="s">
        <v>377</v>
      </c>
      <c r="Z11" s="1" t="s">
        <v>378</v>
      </c>
      <c r="AA11" s="1" t="s">
        <v>379</v>
      </c>
      <c r="AB11" s="1" t="s">
        <v>380</v>
      </c>
      <c r="AC11" s="1" t="s">
        <v>381</v>
      </c>
      <c r="AD11" s="1">
        <v>99201</v>
      </c>
      <c r="AE11" s="1" t="s">
        <v>382</v>
      </c>
      <c r="AF11" s="1" t="s">
        <v>383</v>
      </c>
      <c r="AG11" s="1" t="s">
        <v>384</v>
      </c>
      <c r="AH11" s="1" t="s">
        <v>170</v>
      </c>
      <c r="AI11" s="1"/>
      <c r="AJ11" s="1"/>
      <c r="AK11" s="1"/>
      <c r="AL11" s="1"/>
      <c r="AM11" s="1"/>
      <c r="AN11" s="1"/>
      <c r="AO11" s="1" t="s">
        <v>385</v>
      </c>
      <c r="AP11" s="1"/>
      <c r="AQ11" s="7" t="s">
        <v>386</v>
      </c>
      <c r="AR11" s="7" t="s">
        <v>241</v>
      </c>
      <c r="AS11" s="7">
        <v>25618</v>
      </c>
      <c r="AT11" s="1" t="s">
        <v>387</v>
      </c>
      <c r="AU11" s="1" t="s">
        <v>388</v>
      </c>
      <c r="AV11" s="7" t="s">
        <v>80</v>
      </c>
      <c r="AW11" s="9"/>
      <c r="AX11" s="9"/>
      <c r="AY11" s="9"/>
      <c r="AZ11" s="9"/>
      <c r="BA11" s="9"/>
      <c r="BB11" s="1" t="s">
        <v>81</v>
      </c>
      <c r="BC11" s="1">
        <v>2016</v>
      </c>
      <c r="BD11" s="1" t="s">
        <v>248</v>
      </c>
      <c r="BE11" s="1"/>
      <c r="BF11" s="1"/>
      <c r="BG11" s="2" t="s">
        <v>389</v>
      </c>
      <c r="BH11" s="1" t="s">
        <v>146</v>
      </c>
      <c r="BI11" s="1" t="s">
        <v>80</v>
      </c>
      <c r="BJ11" s="1">
        <v>10</v>
      </c>
      <c r="BK11" s="1" t="s">
        <v>390</v>
      </c>
      <c r="BL11" s="1" t="s">
        <v>385</v>
      </c>
      <c r="BM11" s="1"/>
      <c r="BN11" s="7" t="s">
        <v>386</v>
      </c>
      <c r="BO11" s="7" t="s">
        <v>241</v>
      </c>
      <c r="BP11" s="7">
        <v>25618</v>
      </c>
      <c r="BQ11" s="1" t="s">
        <v>81</v>
      </c>
      <c r="BR11" s="1"/>
      <c r="BS11" s="1"/>
      <c r="BT11" s="1"/>
      <c r="BU11" s="1"/>
      <c r="BV11" s="1"/>
      <c r="BW11" s="11" t="s">
        <v>81</v>
      </c>
      <c r="BX11" s="1" t="s">
        <v>391</v>
      </c>
      <c r="BY11" s="1" t="s">
        <v>392</v>
      </c>
      <c r="BZ11" s="1" t="s">
        <v>393</v>
      </c>
    </row>
    <row r="12" spans="1:78">
      <c r="A12" s="12"/>
      <c r="B12" s="13"/>
      <c r="C12" s="13"/>
      <c r="D12" s="13"/>
      <c r="E12" s="13"/>
      <c r="F12" s="13"/>
      <c r="G12" s="12"/>
      <c r="H12" s="12"/>
      <c r="I12" s="12"/>
      <c r="J12" s="12"/>
      <c r="K12" s="12"/>
      <c r="L12" s="13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4"/>
      <c r="AR12" s="13"/>
      <c r="AS12" s="14"/>
      <c r="AT12" s="12"/>
      <c r="AU12" s="12"/>
      <c r="AV12" s="13"/>
      <c r="AW12" s="15"/>
      <c r="AX12" s="15"/>
      <c r="AY12" s="15"/>
      <c r="AZ12" s="15"/>
      <c r="BA12" s="15"/>
      <c r="BB12" s="12"/>
      <c r="BC12" s="12"/>
      <c r="BD12" s="12"/>
      <c r="BE12" s="12"/>
      <c r="BF12" s="12"/>
      <c r="BG12" s="16"/>
      <c r="BH12" s="12"/>
      <c r="BI12" s="12"/>
      <c r="BJ12" s="12"/>
      <c r="BK12" s="12"/>
      <c r="BL12" s="12"/>
      <c r="BM12" s="12"/>
      <c r="BN12" s="13"/>
      <c r="BO12" s="13"/>
      <c r="BP12" s="13"/>
    </row>
    <row r="13" spans="1:78">
      <c r="A13" s="12"/>
      <c r="B13" s="13"/>
      <c r="C13" s="13"/>
      <c r="D13" s="13"/>
      <c r="E13" s="13"/>
      <c r="F13" s="13"/>
      <c r="G13" s="12"/>
      <c r="H13" s="12"/>
      <c r="I13" s="12"/>
      <c r="J13" s="12"/>
      <c r="K13" s="12"/>
      <c r="L13" s="13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8"/>
      <c r="AM13" s="13"/>
      <c r="AN13" s="8"/>
      <c r="AO13" s="12"/>
      <c r="AP13" s="12"/>
      <c r="AQ13" s="8"/>
      <c r="AR13" s="13"/>
      <c r="AS13" s="8"/>
      <c r="AT13" s="12"/>
      <c r="AU13" s="12"/>
      <c r="AV13" s="13"/>
      <c r="AW13" s="12"/>
      <c r="AX13" s="12"/>
      <c r="AY13" s="13"/>
      <c r="AZ13" s="13"/>
      <c r="BA13" s="13"/>
      <c r="BB13" s="12"/>
      <c r="BC13" s="12"/>
      <c r="BD13" s="12"/>
      <c r="BE13" s="12"/>
      <c r="BF13" s="12"/>
      <c r="BG13" s="16"/>
      <c r="BH13" s="12"/>
      <c r="BI13" s="12"/>
      <c r="BJ13" s="12"/>
      <c r="BK13" s="12"/>
      <c r="BL13" s="12"/>
      <c r="BM13" s="12"/>
      <c r="BN13" s="13"/>
      <c r="BO13" s="13"/>
      <c r="BP13" s="13"/>
    </row>
    <row r="14" spans="1:78">
      <c r="A14" s="12"/>
      <c r="B14" s="13"/>
      <c r="C14" s="13"/>
      <c r="D14" s="13"/>
      <c r="E14" s="13"/>
      <c r="F14" s="13"/>
      <c r="G14" s="12"/>
      <c r="H14" s="12"/>
      <c r="I14" s="12"/>
      <c r="J14" s="12"/>
      <c r="K14" s="12"/>
      <c r="L14" s="13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3"/>
      <c r="AR14" s="13"/>
      <c r="AS14" s="13"/>
      <c r="AT14" s="12"/>
      <c r="AU14" s="12"/>
      <c r="AV14" s="13"/>
      <c r="AW14" s="15"/>
      <c r="AX14" s="15"/>
      <c r="AY14" s="15"/>
      <c r="AZ14" s="15"/>
      <c r="BA14" s="15"/>
      <c r="BB14" s="12"/>
      <c r="BC14" s="12"/>
      <c r="BD14" s="12"/>
      <c r="BE14" s="12"/>
      <c r="BF14" s="12"/>
      <c r="BG14" s="16"/>
      <c r="BH14" s="12"/>
      <c r="BI14" s="12"/>
      <c r="BJ14" s="12"/>
      <c r="BK14" s="12"/>
      <c r="BL14" s="12"/>
      <c r="BM14" s="12"/>
      <c r="BN14" s="13"/>
      <c r="BO14" s="13"/>
      <c r="BP14" s="13"/>
    </row>
    <row r="15" spans="1:78">
      <c r="A15" s="12"/>
      <c r="B15" s="13"/>
      <c r="C15" s="13"/>
      <c r="D15" s="13"/>
      <c r="E15" s="13"/>
      <c r="F15" s="13"/>
      <c r="G15" s="12"/>
      <c r="H15" s="12"/>
      <c r="I15" s="12"/>
      <c r="J15" s="12"/>
      <c r="K15" s="12"/>
      <c r="L15" s="13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3"/>
      <c r="AR15" s="13"/>
      <c r="AS15" s="8"/>
      <c r="AT15" s="12"/>
      <c r="AU15" s="12"/>
      <c r="AV15" s="13"/>
      <c r="AW15" s="15"/>
      <c r="AX15" s="15"/>
      <c r="AY15" s="15"/>
      <c r="AZ15" s="15"/>
      <c r="BA15" s="15"/>
      <c r="BB15" s="12"/>
      <c r="BC15" s="12"/>
      <c r="BD15" s="12"/>
      <c r="BE15" s="12"/>
      <c r="BF15" s="12"/>
      <c r="BG15" s="16"/>
      <c r="BH15" s="12"/>
      <c r="BI15" s="12"/>
      <c r="BJ15" s="12"/>
      <c r="BK15" s="12"/>
      <c r="BL15" s="12"/>
      <c r="BM15" s="12"/>
      <c r="BN15" s="13"/>
      <c r="BO15" s="13"/>
      <c r="BP15" s="13"/>
    </row>
    <row r="16" spans="1:78">
      <c r="A16" s="12"/>
      <c r="B16" s="13"/>
      <c r="C16" s="13"/>
      <c r="D16" s="13"/>
      <c r="E16" s="13"/>
      <c r="F16" s="13"/>
      <c r="G16" s="12"/>
      <c r="H16" s="12"/>
      <c r="I16" s="12"/>
      <c r="J16" s="12"/>
      <c r="K16" s="12"/>
      <c r="L16" s="13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/>
      <c r="AR16" s="13"/>
      <c r="AS16" s="8"/>
      <c r="AT16" s="12"/>
      <c r="AU16" s="12"/>
      <c r="AV16" s="13"/>
      <c r="AW16" s="15"/>
      <c r="AX16" s="15"/>
      <c r="AY16" s="15"/>
      <c r="AZ16" s="15"/>
      <c r="BA16" s="15"/>
      <c r="BB16" s="12"/>
      <c r="BC16" s="12"/>
      <c r="BD16" s="12"/>
      <c r="BE16" s="12"/>
      <c r="BF16" s="12"/>
      <c r="BG16" s="16"/>
      <c r="BH16" s="12"/>
      <c r="BI16" s="12"/>
      <c r="BJ16" s="12"/>
      <c r="BK16" s="12"/>
      <c r="BL16" s="12"/>
      <c r="BM16" s="12"/>
      <c r="BN16" s="13"/>
      <c r="BO16" s="13"/>
      <c r="BP16" s="13"/>
    </row>
    <row r="17" spans="1:74">
      <c r="A17" s="12"/>
      <c r="B17" s="13"/>
      <c r="C17" s="13"/>
      <c r="D17" s="13"/>
      <c r="E17" s="13"/>
      <c r="F17" s="13"/>
      <c r="G17" s="12"/>
      <c r="H17" s="12"/>
      <c r="I17" s="12"/>
      <c r="J17" s="12"/>
      <c r="K17" s="12"/>
      <c r="L17" s="13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3"/>
      <c r="AR17" s="13"/>
      <c r="AS17" s="13"/>
      <c r="AT17" s="12"/>
      <c r="AU17" s="12"/>
      <c r="AV17" s="13"/>
      <c r="AW17" s="15"/>
      <c r="AX17" s="15"/>
      <c r="AY17" s="15"/>
      <c r="AZ17" s="15"/>
      <c r="BA17" s="15"/>
      <c r="BB17" s="12"/>
      <c r="BC17" s="12"/>
      <c r="BD17" s="12"/>
      <c r="BE17" s="12"/>
      <c r="BF17" s="12"/>
      <c r="BG17" s="16"/>
      <c r="BH17" s="12"/>
      <c r="BI17" s="12"/>
      <c r="BJ17" s="12"/>
      <c r="BK17" s="12"/>
      <c r="BL17" s="12"/>
      <c r="BM17" s="12"/>
      <c r="BN17" s="13"/>
      <c r="BO17" s="13"/>
      <c r="BP17" s="13"/>
    </row>
    <row r="18" spans="1:74">
      <c r="A18" s="12"/>
      <c r="B18" s="13"/>
      <c r="C18" s="13"/>
      <c r="D18" s="13"/>
      <c r="E18" s="13"/>
      <c r="F18" s="13"/>
      <c r="G18" s="12"/>
      <c r="H18" s="12"/>
      <c r="I18" s="12"/>
      <c r="J18" s="12"/>
      <c r="K18" s="12"/>
      <c r="L18" s="13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3"/>
      <c r="AR18" s="13"/>
      <c r="AS18" s="8"/>
      <c r="AT18" s="12"/>
      <c r="AU18" s="12"/>
      <c r="AV18" s="13"/>
      <c r="AW18" s="12"/>
      <c r="AX18" s="12"/>
      <c r="AY18" s="8"/>
      <c r="AZ18" s="13"/>
      <c r="BA18" s="8"/>
      <c r="BB18" s="12"/>
      <c r="BC18" s="12"/>
      <c r="BD18" s="12"/>
      <c r="BE18" s="12"/>
      <c r="BF18" s="12"/>
      <c r="BG18" s="16"/>
      <c r="BH18" s="12"/>
      <c r="BI18" s="12"/>
      <c r="BJ18" s="12"/>
      <c r="BK18" s="12"/>
      <c r="BL18" s="12"/>
      <c r="BM18" s="12"/>
      <c r="BN18" s="13"/>
      <c r="BO18" s="13"/>
      <c r="BP18" s="13"/>
    </row>
    <row r="19" spans="1:74">
      <c r="A19" s="12"/>
      <c r="B19" s="13"/>
      <c r="C19" s="13"/>
      <c r="D19" s="13"/>
      <c r="E19" s="13"/>
      <c r="F19" s="13"/>
      <c r="G19" s="12"/>
      <c r="H19" s="12"/>
      <c r="I19" s="12"/>
      <c r="J19" s="12"/>
      <c r="K19" s="12"/>
      <c r="L19" s="13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3"/>
      <c r="AR19" s="13"/>
      <c r="AS19" s="13"/>
      <c r="AT19" s="12"/>
      <c r="AU19" s="12"/>
      <c r="AV19" s="13"/>
      <c r="AW19" s="15"/>
      <c r="AX19" s="15"/>
      <c r="AY19" s="15"/>
      <c r="AZ19" s="15"/>
      <c r="BA19" s="15"/>
      <c r="BB19" s="12"/>
      <c r="BC19" s="12"/>
      <c r="BD19" s="12"/>
      <c r="BE19" s="12"/>
      <c r="BF19" s="12"/>
      <c r="BG19" s="16"/>
      <c r="BH19" s="12"/>
      <c r="BI19" s="12"/>
      <c r="BJ19" s="12"/>
      <c r="BK19" s="12"/>
      <c r="BL19" s="12"/>
      <c r="BM19" s="12"/>
      <c r="BN19" s="13"/>
      <c r="BO19" s="13"/>
      <c r="BP19" s="13"/>
    </row>
    <row r="20" spans="1:74">
      <c r="A20" s="12"/>
      <c r="B20" s="13"/>
      <c r="C20" s="13"/>
      <c r="D20" s="13"/>
      <c r="E20" s="13"/>
      <c r="F20" s="13"/>
      <c r="G20" s="12"/>
      <c r="H20" s="12"/>
      <c r="I20" s="12"/>
      <c r="J20" s="12"/>
      <c r="K20" s="12"/>
      <c r="L20" s="13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3"/>
      <c r="AM20" s="13"/>
      <c r="AN20" s="13"/>
      <c r="AO20" s="12"/>
      <c r="AP20" s="12"/>
      <c r="AQ20" s="8"/>
      <c r="AR20" s="13"/>
      <c r="AS20" s="8"/>
      <c r="AT20" s="12"/>
      <c r="AU20" s="12"/>
      <c r="AV20" s="13"/>
      <c r="AW20" s="15"/>
      <c r="AX20" s="15"/>
      <c r="AY20" s="15"/>
      <c r="AZ20" s="15"/>
      <c r="BA20" s="15"/>
      <c r="BB20" s="12"/>
      <c r="BC20" s="12"/>
      <c r="BD20" s="12"/>
      <c r="BE20" s="12"/>
      <c r="BF20" s="12"/>
      <c r="BG20" s="16"/>
      <c r="BH20" s="12"/>
      <c r="BI20" s="12"/>
      <c r="BJ20" s="12"/>
      <c r="BK20" s="12"/>
      <c r="BL20" s="12"/>
      <c r="BM20" s="12"/>
      <c r="BN20" s="13"/>
      <c r="BO20" s="13"/>
      <c r="BP20" s="13"/>
      <c r="BQ20" s="12"/>
      <c r="BR20" s="17"/>
      <c r="BS20" s="17"/>
      <c r="BT20" s="17"/>
      <c r="BU20" s="17"/>
      <c r="BV20" s="17"/>
    </row>
    <row r="21" spans="1:74">
      <c r="A21" s="12"/>
      <c r="B21" s="13"/>
      <c r="C21" s="13"/>
      <c r="D21" s="13"/>
      <c r="E21" s="13"/>
      <c r="F21" s="13"/>
      <c r="G21" s="12"/>
      <c r="H21" s="12"/>
      <c r="I21" s="12"/>
      <c r="J21" s="12"/>
      <c r="K21" s="12"/>
      <c r="L21" s="13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3"/>
      <c r="AR21" s="13"/>
      <c r="AS21" s="8"/>
      <c r="AT21" s="12"/>
      <c r="AU21" s="12"/>
      <c r="AV21" s="13"/>
      <c r="AW21" s="15"/>
      <c r="AX21" s="15"/>
      <c r="AY21" s="15"/>
      <c r="AZ21" s="15"/>
      <c r="BA21" s="15"/>
      <c r="BB21" s="12"/>
      <c r="BC21" s="12"/>
      <c r="BD21" s="12"/>
      <c r="BE21" s="12"/>
      <c r="BF21" s="12"/>
      <c r="BG21" s="16"/>
      <c r="BH21" s="12"/>
      <c r="BI21" s="12"/>
      <c r="BJ21" s="12"/>
      <c r="BK21" s="12"/>
      <c r="BL21" s="12"/>
      <c r="BM21" s="12"/>
      <c r="BN21" s="13"/>
      <c r="BO21" s="13"/>
      <c r="BP21" s="13"/>
    </row>
    <row r="22" spans="1:74">
      <c r="A22" s="12"/>
      <c r="B22" s="13"/>
      <c r="C22" s="13"/>
      <c r="D22" s="13"/>
      <c r="E22" s="13"/>
      <c r="F22" s="13"/>
      <c r="G22" s="12"/>
      <c r="H22" s="12"/>
      <c r="I22" s="12"/>
      <c r="J22" s="12"/>
      <c r="K22" s="12"/>
      <c r="L22" s="13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3"/>
      <c r="AR22" s="13"/>
      <c r="AS22" s="14"/>
      <c r="AT22" s="12"/>
      <c r="AU22" s="12"/>
      <c r="AV22" s="13"/>
      <c r="AW22" s="15"/>
      <c r="AX22" s="15"/>
      <c r="AY22" s="15"/>
      <c r="AZ22" s="15"/>
      <c r="BA22" s="15"/>
      <c r="BB22" s="12"/>
      <c r="BC22" s="12"/>
      <c r="BD22" s="12"/>
      <c r="BE22" s="12"/>
      <c r="BF22" s="12"/>
      <c r="BG22" s="16"/>
      <c r="BH22" s="12"/>
      <c r="BI22" s="12"/>
      <c r="BJ22" s="12"/>
      <c r="BK22" s="12"/>
      <c r="BL22" s="12"/>
      <c r="BM22" s="12"/>
      <c r="BN22" s="13"/>
      <c r="BO22" s="13"/>
      <c r="BP22" s="13"/>
    </row>
    <row r="23" spans="1:74">
      <c r="A23" s="12"/>
      <c r="B23" s="13"/>
      <c r="C23" s="13"/>
      <c r="D23" s="13"/>
      <c r="E23" s="13"/>
      <c r="F23" s="13"/>
      <c r="G23" s="12"/>
      <c r="H23" s="12"/>
      <c r="I23" s="12"/>
      <c r="J23" s="12"/>
      <c r="K23" s="12"/>
      <c r="L23" s="13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3"/>
      <c r="AR23" s="13"/>
      <c r="AS23" s="14"/>
      <c r="AT23" s="12"/>
      <c r="AU23" s="12"/>
      <c r="AV23" s="13"/>
      <c r="AW23" s="12"/>
      <c r="AX23" s="12"/>
      <c r="AY23" s="13"/>
      <c r="AZ23" s="13"/>
      <c r="BA23" s="13"/>
      <c r="BB23" s="12"/>
      <c r="BC23" s="12"/>
      <c r="BD23" s="12"/>
      <c r="BE23" s="12"/>
      <c r="BF23" s="12"/>
      <c r="BG23" s="16"/>
      <c r="BH23" s="12"/>
      <c r="BI23" s="12"/>
      <c r="BJ23" s="12"/>
      <c r="BK23" s="12"/>
      <c r="BL23" s="12"/>
      <c r="BM23" s="12"/>
      <c r="BN23" s="13"/>
      <c r="BO23" s="13"/>
      <c r="BP23" s="13"/>
    </row>
    <row r="24" spans="1:74">
      <c r="A24" s="12"/>
      <c r="B24" s="13"/>
      <c r="C24" s="13"/>
      <c r="D24" s="13"/>
      <c r="E24" s="13"/>
      <c r="F24" s="13"/>
      <c r="G24" s="12"/>
      <c r="H24" s="12"/>
      <c r="I24" s="12"/>
      <c r="J24" s="12"/>
      <c r="K24" s="12"/>
      <c r="L24" s="13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/>
      <c r="AR24" s="13"/>
      <c r="AS24" s="8"/>
      <c r="AT24" s="12"/>
      <c r="AU24" s="12"/>
      <c r="AV24" s="13"/>
      <c r="AW24" s="15"/>
      <c r="AX24" s="15"/>
      <c r="AY24" s="15"/>
      <c r="AZ24" s="15"/>
      <c r="BA24" s="15"/>
      <c r="BB24" s="12"/>
      <c r="BC24" s="12"/>
      <c r="BD24" s="12"/>
      <c r="BE24" s="12"/>
      <c r="BF24" s="12"/>
      <c r="BG24" s="16"/>
      <c r="BH24" s="12"/>
      <c r="BI24" s="12"/>
      <c r="BJ24" s="12"/>
      <c r="BK24" s="12"/>
      <c r="BL24" s="12"/>
      <c r="BM24" s="12"/>
      <c r="BN24" s="13"/>
      <c r="BO24" s="13"/>
      <c r="BP24" s="13"/>
    </row>
    <row r="25" spans="1:74">
      <c r="A25" s="12"/>
      <c r="B25" s="13"/>
      <c r="C25" s="13"/>
      <c r="D25" s="13"/>
      <c r="E25" s="13"/>
      <c r="F25" s="13"/>
      <c r="G25" s="12"/>
      <c r="H25" s="12"/>
      <c r="I25" s="12"/>
      <c r="J25" s="12"/>
      <c r="K25" s="12"/>
      <c r="L25" s="13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3"/>
      <c r="AR25" s="13"/>
      <c r="AS25" s="8"/>
      <c r="AT25" s="12"/>
      <c r="AU25" s="12"/>
      <c r="AV25" s="13"/>
      <c r="AW25" s="15"/>
      <c r="AX25" s="15"/>
      <c r="AY25" s="15"/>
      <c r="AZ25" s="15"/>
      <c r="BA25" s="15"/>
      <c r="BB25" s="12"/>
      <c r="BC25" s="12"/>
      <c r="BD25" s="12"/>
      <c r="BE25" s="12"/>
      <c r="BF25" s="12"/>
      <c r="BG25" s="16"/>
      <c r="BH25" s="12"/>
      <c r="BI25" s="12"/>
      <c r="BJ25" s="12"/>
      <c r="BK25" s="12"/>
      <c r="BL25" s="12"/>
      <c r="BM25" s="12"/>
      <c r="BN25" s="13"/>
      <c r="BO25" s="13"/>
      <c r="BP25" s="13"/>
    </row>
    <row r="26" spans="1:74">
      <c r="A26" s="12"/>
      <c r="B26" s="13"/>
      <c r="C26" s="13"/>
      <c r="D26" s="13"/>
      <c r="E26" s="13"/>
      <c r="F26" s="13"/>
      <c r="G26" s="12"/>
      <c r="H26" s="12"/>
      <c r="I26" s="12"/>
      <c r="J26" s="12"/>
      <c r="K26" s="12"/>
      <c r="L26" s="13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3"/>
      <c r="AR26" s="13"/>
      <c r="AS26" s="13"/>
      <c r="AT26" s="12"/>
      <c r="AU26" s="12"/>
      <c r="AV26" s="13"/>
      <c r="AW26" s="15"/>
      <c r="AX26" s="15"/>
      <c r="AY26" s="15"/>
      <c r="AZ26" s="15"/>
      <c r="BA26" s="15"/>
      <c r="BB26" s="12"/>
      <c r="BC26" s="12"/>
      <c r="BD26" s="12"/>
      <c r="BE26" s="12"/>
      <c r="BF26" s="12"/>
      <c r="BG26" s="16"/>
      <c r="BH26" s="12"/>
      <c r="BI26" s="12"/>
      <c r="BJ26" s="12"/>
      <c r="BK26" s="12"/>
      <c r="BL26" s="12"/>
      <c r="BM26" s="12"/>
      <c r="BN26" s="13"/>
      <c r="BO26" s="13"/>
      <c r="BP26" s="13"/>
    </row>
    <row r="27" spans="1:74">
      <c r="A27" s="12"/>
      <c r="B27" s="13"/>
      <c r="C27" s="13"/>
      <c r="D27" s="13"/>
      <c r="E27" s="13"/>
      <c r="F27" s="13"/>
      <c r="G27" s="12"/>
      <c r="H27" s="12"/>
      <c r="I27" s="12"/>
      <c r="J27" s="12"/>
      <c r="K27" s="12"/>
      <c r="L27" s="13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3"/>
      <c r="AM27" s="13"/>
      <c r="AN27" s="13"/>
      <c r="AO27" s="12"/>
      <c r="AP27" s="12"/>
      <c r="AQ27" s="8"/>
      <c r="AR27" s="13"/>
      <c r="AS27" s="8"/>
      <c r="AT27" s="12"/>
      <c r="AU27" s="12"/>
      <c r="AV27" s="13"/>
      <c r="AW27" s="15"/>
      <c r="AX27" s="15"/>
      <c r="AY27" s="15"/>
      <c r="AZ27" s="15"/>
      <c r="BA27" s="15"/>
      <c r="BB27" s="12"/>
      <c r="BC27" s="12"/>
      <c r="BD27" s="12"/>
      <c r="BE27" s="12"/>
      <c r="BF27" s="12"/>
      <c r="BG27" s="16"/>
      <c r="BH27" s="12"/>
      <c r="BI27" s="12"/>
      <c r="BJ27" s="12"/>
      <c r="BK27" s="12"/>
      <c r="BL27" s="12"/>
      <c r="BM27" s="12"/>
      <c r="BN27" s="13"/>
      <c r="BO27" s="13"/>
      <c r="BP27" s="13"/>
    </row>
    <row r="28" spans="1:74">
      <c r="A28" s="12"/>
      <c r="B28" s="13"/>
      <c r="C28" s="13"/>
      <c r="D28" s="13"/>
      <c r="E28" s="13"/>
      <c r="F28" s="13"/>
      <c r="G28" s="12"/>
      <c r="H28" s="12"/>
      <c r="I28" s="12"/>
      <c r="J28" s="12"/>
      <c r="K28" s="12"/>
      <c r="L28" s="13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3"/>
      <c r="AR28" s="13"/>
      <c r="AS28" s="8"/>
      <c r="AT28" s="12"/>
      <c r="AU28" s="12"/>
      <c r="AV28" s="13"/>
      <c r="AW28" s="12"/>
      <c r="AX28" s="12"/>
      <c r="AY28" s="13"/>
      <c r="AZ28" s="13"/>
      <c r="BA28" s="8"/>
      <c r="BB28" s="12"/>
      <c r="BC28" s="12"/>
      <c r="BD28" s="12"/>
      <c r="BE28" s="12"/>
      <c r="BF28" s="12"/>
      <c r="BG28" s="16"/>
      <c r="BH28" s="12"/>
      <c r="BI28" s="12"/>
      <c r="BJ28" s="12"/>
      <c r="BK28" s="12"/>
      <c r="BL28" s="12"/>
      <c r="BM28" s="12"/>
      <c r="BN28" s="13"/>
      <c r="BO28" s="13"/>
      <c r="BP28" s="13"/>
    </row>
    <row r="29" spans="1:74">
      <c r="A29" s="12"/>
      <c r="B29" s="13"/>
      <c r="C29" s="13"/>
      <c r="D29" s="13"/>
      <c r="E29" s="13"/>
      <c r="F29" s="13"/>
      <c r="G29" s="12"/>
      <c r="H29" s="12"/>
      <c r="I29" s="12"/>
      <c r="J29" s="12"/>
      <c r="K29" s="12"/>
      <c r="L29" s="13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3"/>
      <c r="AR29" s="13"/>
      <c r="AS29" s="13"/>
      <c r="AT29" s="12"/>
      <c r="AU29" s="12"/>
      <c r="AV29" s="13"/>
      <c r="AW29" s="15"/>
      <c r="AX29" s="15"/>
      <c r="AY29" s="15"/>
      <c r="AZ29" s="15"/>
      <c r="BA29" s="15"/>
      <c r="BB29" s="12"/>
      <c r="BC29" s="12"/>
      <c r="BD29" s="12"/>
      <c r="BE29" s="12"/>
      <c r="BF29" s="12"/>
      <c r="BG29" s="16"/>
      <c r="BH29" s="12"/>
      <c r="BI29" s="12"/>
      <c r="BJ29" s="12"/>
      <c r="BK29" s="12"/>
      <c r="BL29" s="12"/>
      <c r="BM29" s="12"/>
      <c r="BN29" s="13"/>
      <c r="BO29" s="13"/>
      <c r="BP29" s="13"/>
    </row>
    <row r="30" spans="1:74">
      <c r="A30" s="12"/>
      <c r="B30" s="13"/>
      <c r="C30" s="13"/>
      <c r="D30" s="13"/>
      <c r="E30" s="13"/>
      <c r="F30" s="13"/>
      <c r="G30" s="12"/>
      <c r="H30" s="12"/>
      <c r="I30" s="12"/>
      <c r="J30" s="12"/>
      <c r="K30" s="12"/>
      <c r="L30" s="13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/>
      <c r="AR30" s="13"/>
      <c r="AS30" s="8"/>
      <c r="AT30" s="12"/>
      <c r="AU30" s="12"/>
      <c r="AV30" s="13"/>
      <c r="AW30" s="15"/>
      <c r="AX30" s="15"/>
      <c r="AY30" s="15"/>
      <c r="AZ30" s="15"/>
      <c r="BA30" s="15"/>
      <c r="BB30" s="12"/>
      <c r="BC30" s="12"/>
      <c r="BD30" s="12"/>
      <c r="BE30" s="12"/>
      <c r="BF30" s="12"/>
      <c r="BG30" s="16"/>
      <c r="BH30" s="12"/>
      <c r="BI30" s="12"/>
      <c r="BJ30" s="12"/>
      <c r="BK30" s="12"/>
      <c r="BL30" s="12"/>
      <c r="BM30" s="12"/>
      <c r="BN30" s="13"/>
      <c r="BO30" s="13"/>
      <c r="BP30" s="13"/>
    </row>
    <row r="31" spans="1:74">
      <c r="A31" s="12"/>
      <c r="B31" s="13"/>
      <c r="C31" s="13"/>
      <c r="D31" s="13"/>
      <c r="E31" s="13"/>
      <c r="F31" s="13"/>
      <c r="G31" s="12"/>
      <c r="H31" s="12"/>
      <c r="I31" s="12"/>
      <c r="J31" s="12"/>
      <c r="K31" s="12"/>
      <c r="L31" s="13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/>
      <c r="AR31" s="13"/>
      <c r="AS31" s="8"/>
      <c r="AT31" s="12"/>
      <c r="AU31" s="12"/>
      <c r="AV31" s="13"/>
      <c r="AW31" s="15"/>
      <c r="AX31" s="15"/>
      <c r="AY31" s="15"/>
      <c r="AZ31" s="15"/>
      <c r="BA31" s="15"/>
      <c r="BB31" s="12"/>
      <c r="BC31" s="12"/>
      <c r="BD31" s="12"/>
      <c r="BE31" s="12"/>
      <c r="BF31" s="12"/>
      <c r="BG31" s="16"/>
      <c r="BH31" s="12"/>
      <c r="BI31" s="12"/>
      <c r="BJ31" s="12"/>
      <c r="BK31" s="12"/>
      <c r="BL31" s="12"/>
      <c r="BM31" s="12"/>
      <c r="BN31" s="13"/>
      <c r="BO31" s="13"/>
      <c r="BP31" s="13"/>
    </row>
    <row r="32" spans="1:74">
      <c r="A32" s="12"/>
      <c r="B32" s="13"/>
      <c r="C32" s="13"/>
      <c r="D32" s="13"/>
      <c r="E32" s="13"/>
      <c r="F32" s="13"/>
      <c r="G32" s="12"/>
      <c r="H32" s="12"/>
      <c r="I32" s="12"/>
      <c r="J32" s="12"/>
      <c r="K32" s="12"/>
      <c r="L32" s="13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/>
      <c r="AR32" s="13"/>
      <c r="AS32" s="8"/>
      <c r="AT32" s="12"/>
      <c r="AU32" s="12"/>
      <c r="AV32" s="13"/>
      <c r="AW32" s="15"/>
      <c r="AX32" s="15"/>
      <c r="AY32" s="15"/>
      <c r="AZ32" s="15"/>
      <c r="BA32" s="15"/>
      <c r="BB32" s="12"/>
      <c r="BC32" s="12"/>
      <c r="BD32" s="12"/>
      <c r="BE32" s="12"/>
      <c r="BF32" s="12"/>
      <c r="BG32" s="16"/>
      <c r="BH32" s="12"/>
      <c r="BI32" s="12"/>
      <c r="BJ32" s="12"/>
      <c r="BK32" s="12"/>
      <c r="BL32" s="12"/>
      <c r="BM32" s="12"/>
      <c r="BN32" s="13"/>
      <c r="BO32" s="13"/>
      <c r="BP32" s="13"/>
      <c r="BQ32" s="12"/>
      <c r="BR32" s="17"/>
      <c r="BS32" s="17"/>
      <c r="BT32" s="17"/>
      <c r="BU32" s="17"/>
      <c r="BV32" s="17"/>
    </row>
    <row r="33" spans="1:74">
      <c r="A33" s="12"/>
      <c r="B33" s="13"/>
      <c r="C33" s="13"/>
      <c r="D33" s="13"/>
      <c r="E33" s="13"/>
      <c r="F33" s="13"/>
      <c r="G33" s="12"/>
      <c r="H33" s="12"/>
      <c r="I33" s="12"/>
      <c r="J33" s="12"/>
      <c r="K33" s="12"/>
      <c r="L33" s="13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/>
      <c r="AR33" s="13"/>
      <c r="AS33" s="8"/>
      <c r="AT33" s="12"/>
      <c r="AU33" s="12"/>
      <c r="AV33" s="13"/>
      <c r="AW33" s="15"/>
      <c r="AX33" s="15"/>
      <c r="AY33" s="15"/>
      <c r="AZ33" s="15"/>
      <c r="BA33" s="15"/>
      <c r="BB33" s="12"/>
      <c r="BC33" s="12"/>
      <c r="BD33" s="12"/>
      <c r="BE33" s="12"/>
      <c r="BF33" s="12"/>
      <c r="BG33" s="16"/>
      <c r="BH33" s="12"/>
      <c r="BI33" s="12"/>
      <c r="BJ33" s="12"/>
      <c r="BK33" s="12"/>
      <c r="BL33" s="12"/>
      <c r="BM33" s="12"/>
      <c r="BN33" s="13"/>
      <c r="BO33" s="13"/>
      <c r="BP33" s="13"/>
    </row>
    <row r="34" spans="1:74">
      <c r="A34" s="12"/>
      <c r="B34" s="13"/>
      <c r="C34" s="13"/>
      <c r="D34" s="13"/>
      <c r="E34" s="13"/>
      <c r="F34" s="13"/>
      <c r="G34" s="12"/>
      <c r="H34" s="12"/>
      <c r="I34" s="12"/>
      <c r="J34" s="12"/>
      <c r="K34" s="12"/>
      <c r="L34" s="13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8"/>
      <c r="AM34" s="13"/>
      <c r="AN34" s="8"/>
      <c r="AO34" s="12"/>
      <c r="AP34" s="12"/>
      <c r="AQ34" s="13"/>
      <c r="AR34" s="13"/>
      <c r="AS34" s="8"/>
      <c r="AT34" s="12"/>
      <c r="AU34" s="12"/>
      <c r="AV34" s="13"/>
      <c r="AW34" s="12"/>
      <c r="AX34" s="12"/>
      <c r="AY34" s="8"/>
      <c r="AZ34" s="13"/>
      <c r="BA34" s="8"/>
      <c r="BB34" s="12"/>
      <c r="BC34" s="12"/>
      <c r="BD34" s="12"/>
      <c r="BE34" s="12"/>
      <c r="BF34" s="12"/>
      <c r="BG34" s="16"/>
      <c r="BH34" s="12"/>
      <c r="BI34" s="12"/>
      <c r="BJ34" s="12"/>
      <c r="BK34" s="12"/>
      <c r="BL34" s="12"/>
      <c r="BM34" s="12"/>
      <c r="BN34" s="13"/>
      <c r="BO34" s="13"/>
      <c r="BP34" s="13"/>
    </row>
    <row r="35" spans="1:74">
      <c r="A35" s="12"/>
      <c r="B35" s="13"/>
      <c r="C35" s="13"/>
      <c r="D35" s="13"/>
      <c r="E35" s="13"/>
      <c r="F35" s="13"/>
      <c r="G35" s="12"/>
      <c r="H35" s="12"/>
      <c r="I35" s="12"/>
      <c r="J35" s="12"/>
      <c r="K35" s="12"/>
      <c r="L35" s="13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/>
      <c r="AR35" s="13"/>
      <c r="AS35" s="8"/>
      <c r="AT35" s="12"/>
      <c r="AU35" s="12"/>
      <c r="AV35" s="13"/>
      <c r="AW35" s="15"/>
      <c r="AX35" s="15"/>
      <c r="AY35" s="15"/>
      <c r="AZ35" s="15"/>
      <c r="BA35" s="15"/>
      <c r="BB35" s="12"/>
      <c r="BC35" s="12"/>
      <c r="BD35" s="12"/>
      <c r="BE35" s="12"/>
      <c r="BF35" s="12"/>
      <c r="BG35" s="16"/>
      <c r="BH35" s="12"/>
      <c r="BI35" s="12"/>
      <c r="BJ35" s="12"/>
      <c r="BK35" s="12"/>
      <c r="BL35" s="12"/>
      <c r="BM35" s="12"/>
      <c r="BN35" s="13"/>
      <c r="BO35" s="13"/>
      <c r="BP35" s="13"/>
    </row>
    <row r="36" spans="1:74">
      <c r="A36" s="12"/>
      <c r="B36" s="13"/>
      <c r="C36" s="13"/>
      <c r="D36" s="13"/>
      <c r="E36" s="13"/>
      <c r="F36" s="13"/>
      <c r="G36" s="12"/>
      <c r="H36" s="12"/>
      <c r="I36" s="12"/>
      <c r="J36" s="12"/>
      <c r="K36" s="12"/>
      <c r="L36" s="13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3"/>
      <c r="AR36" s="13"/>
      <c r="AS36" s="8"/>
      <c r="AT36" s="12"/>
      <c r="AU36" s="12"/>
      <c r="AV36" s="13"/>
      <c r="AW36" s="15"/>
      <c r="AX36" s="15"/>
      <c r="AY36" s="15"/>
      <c r="AZ36" s="15"/>
      <c r="BA36" s="15"/>
      <c r="BB36" s="12"/>
      <c r="BC36" s="12"/>
      <c r="BD36" s="12"/>
      <c r="BE36" s="12"/>
      <c r="BF36" s="12"/>
      <c r="BG36" s="16"/>
      <c r="BH36" s="12"/>
      <c r="BI36" s="12"/>
      <c r="BJ36" s="12"/>
      <c r="BK36" s="12"/>
      <c r="BL36" s="12"/>
      <c r="BM36" s="12"/>
      <c r="BN36" s="13"/>
      <c r="BO36" s="13"/>
      <c r="BP36" s="13"/>
    </row>
    <row r="37" spans="1:74">
      <c r="A37" s="12"/>
      <c r="B37" s="13"/>
      <c r="C37" s="13"/>
      <c r="D37" s="13"/>
      <c r="E37" s="13"/>
      <c r="F37" s="13"/>
      <c r="G37" s="12"/>
      <c r="H37" s="12"/>
      <c r="I37" s="12"/>
      <c r="J37" s="12"/>
      <c r="K37" s="12"/>
      <c r="L37" s="13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8"/>
      <c r="AR37" s="13"/>
      <c r="AS37" s="8"/>
      <c r="AT37" s="12"/>
      <c r="AU37" s="12"/>
      <c r="AV37" s="13"/>
      <c r="AW37" s="15"/>
      <c r="AX37" s="15"/>
      <c r="AY37" s="15"/>
      <c r="AZ37" s="15"/>
      <c r="BA37" s="15"/>
      <c r="BB37" s="12"/>
      <c r="BC37" s="12"/>
      <c r="BD37" s="12"/>
      <c r="BE37" s="12"/>
      <c r="BF37" s="12"/>
      <c r="BG37" s="16"/>
      <c r="BH37" s="12"/>
      <c r="BI37" s="12"/>
      <c r="BJ37" s="12"/>
      <c r="BK37" s="12"/>
      <c r="BL37" s="12"/>
      <c r="BM37" s="12"/>
      <c r="BN37" s="13"/>
      <c r="BO37" s="13"/>
      <c r="BP37" s="13"/>
    </row>
    <row r="38" spans="1:74">
      <c r="A38" s="12"/>
      <c r="B38" s="13"/>
      <c r="C38" s="13"/>
      <c r="D38" s="13"/>
      <c r="E38" s="13"/>
      <c r="F38" s="13"/>
      <c r="G38" s="12"/>
      <c r="H38" s="12"/>
      <c r="I38" s="12"/>
      <c r="J38" s="12"/>
      <c r="K38" s="12"/>
      <c r="L38" s="13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8"/>
      <c r="AR38" s="13"/>
      <c r="AS38" s="8"/>
      <c r="AT38" s="12"/>
      <c r="AU38" s="12"/>
      <c r="AV38" s="13"/>
      <c r="AW38" s="15"/>
      <c r="AX38" s="15"/>
      <c r="AY38" s="15"/>
      <c r="AZ38" s="15"/>
      <c r="BA38" s="15"/>
      <c r="BB38" s="12"/>
      <c r="BC38" s="12"/>
      <c r="BD38" s="12"/>
      <c r="BE38" s="12"/>
      <c r="BF38" s="12"/>
      <c r="BG38" s="16"/>
      <c r="BH38" s="12"/>
      <c r="BI38" s="12"/>
      <c r="BJ38" s="12"/>
      <c r="BK38" s="12"/>
      <c r="BL38" s="12"/>
      <c r="BM38" s="12"/>
      <c r="BN38" s="13"/>
      <c r="BO38" s="13"/>
      <c r="BP38" s="13"/>
    </row>
    <row r="39" spans="1:74">
      <c r="A39" s="12"/>
      <c r="B39" s="13"/>
      <c r="C39" s="13"/>
      <c r="D39" s="13"/>
      <c r="E39" s="13"/>
      <c r="F39" s="13"/>
      <c r="G39" s="12"/>
      <c r="H39" s="12"/>
      <c r="I39" s="12"/>
      <c r="J39" s="12"/>
      <c r="K39" s="12"/>
      <c r="L39" s="13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3"/>
      <c r="AR39" s="13"/>
      <c r="AS39" s="8"/>
      <c r="AT39" s="12"/>
      <c r="AU39" s="12"/>
      <c r="AV39" s="13"/>
      <c r="AW39" s="15"/>
      <c r="AX39" s="15"/>
      <c r="AY39" s="15"/>
      <c r="AZ39" s="15"/>
      <c r="BA39" s="15"/>
      <c r="BB39" s="12"/>
      <c r="BC39" s="12"/>
      <c r="BD39" s="12"/>
      <c r="BE39" s="12"/>
      <c r="BF39" s="12"/>
      <c r="BG39" s="16"/>
      <c r="BH39" s="12"/>
      <c r="BI39" s="12"/>
      <c r="BJ39" s="12"/>
      <c r="BK39" s="12"/>
      <c r="BL39" s="12"/>
      <c r="BM39" s="12"/>
      <c r="BN39" s="13"/>
      <c r="BO39" s="13"/>
      <c r="BP39" s="13"/>
    </row>
    <row r="40" spans="1:74">
      <c r="A40" s="12"/>
      <c r="B40" s="13"/>
      <c r="C40" s="13"/>
      <c r="D40" s="13"/>
      <c r="E40" s="13"/>
      <c r="F40" s="13"/>
      <c r="G40" s="12"/>
      <c r="H40" s="12"/>
      <c r="I40" s="12"/>
      <c r="J40" s="12"/>
      <c r="K40" s="12"/>
      <c r="L40" s="13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3"/>
      <c r="AR40" s="13"/>
      <c r="AS40" s="8"/>
      <c r="AT40" s="12"/>
      <c r="AU40" s="12"/>
      <c r="AV40" s="13"/>
      <c r="AW40" s="15"/>
      <c r="AX40" s="15"/>
      <c r="AY40" s="15"/>
      <c r="AZ40" s="15"/>
      <c r="BA40" s="15"/>
      <c r="BB40" s="12"/>
      <c r="BC40" s="12"/>
      <c r="BD40" s="12"/>
      <c r="BE40" s="12"/>
      <c r="BF40" s="12"/>
      <c r="BG40" s="16"/>
      <c r="BH40" s="12"/>
      <c r="BI40" s="12"/>
      <c r="BJ40" s="12"/>
      <c r="BK40" s="12"/>
      <c r="BL40" s="12"/>
      <c r="BM40" s="12"/>
      <c r="BN40" s="13"/>
      <c r="BO40" s="13"/>
      <c r="BP40" s="13"/>
    </row>
    <row r="41" spans="1:74">
      <c r="A41" s="12"/>
      <c r="B41" s="13"/>
      <c r="C41" s="13"/>
      <c r="D41" s="13"/>
      <c r="E41" s="13"/>
      <c r="F41" s="13"/>
      <c r="G41" s="12"/>
      <c r="H41" s="12"/>
      <c r="I41" s="12"/>
      <c r="J41" s="12"/>
      <c r="K41" s="12"/>
      <c r="L41" s="13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8"/>
      <c r="AM41" s="13"/>
      <c r="AN41" s="8"/>
      <c r="AO41" s="12"/>
      <c r="AP41" s="12"/>
      <c r="AQ41" s="8"/>
      <c r="AR41" s="13"/>
      <c r="AS41" s="8"/>
      <c r="AT41" s="12"/>
      <c r="AU41" s="12"/>
      <c r="AV41" s="13"/>
      <c r="AW41" s="15"/>
      <c r="AX41" s="15"/>
      <c r="AY41" s="15"/>
      <c r="AZ41" s="15"/>
      <c r="BA41" s="15"/>
      <c r="BB41" s="12"/>
      <c r="BC41" s="12"/>
      <c r="BD41" s="12"/>
      <c r="BE41" s="12"/>
      <c r="BF41" s="12"/>
      <c r="BG41" s="16"/>
      <c r="BH41" s="12"/>
      <c r="BI41" s="12"/>
      <c r="BJ41" s="12"/>
      <c r="BK41" s="12"/>
      <c r="BL41" s="12"/>
      <c r="BM41" s="12"/>
      <c r="BN41" s="13"/>
      <c r="BO41" s="13"/>
      <c r="BP41" s="13"/>
    </row>
    <row r="42" spans="1:74">
      <c r="A42" s="12"/>
      <c r="B42" s="13"/>
      <c r="C42" s="13"/>
      <c r="D42" s="13"/>
      <c r="E42" s="13"/>
      <c r="F42" s="13"/>
      <c r="G42" s="12"/>
      <c r="H42" s="12"/>
      <c r="I42" s="12"/>
      <c r="J42" s="12"/>
      <c r="K42" s="12"/>
      <c r="L42" s="13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8"/>
      <c r="AR42" s="13"/>
      <c r="AS42" s="8"/>
      <c r="AT42" s="12"/>
      <c r="AU42" s="12"/>
      <c r="AV42" s="13"/>
      <c r="AW42" s="12"/>
      <c r="AX42" s="12"/>
      <c r="AY42" s="13"/>
      <c r="AZ42" s="13"/>
      <c r="BA42" s="13"/>
      <c r="BB42" s="12"/>
      <c r="BC42" s="12"/>
      <c r="BD42" s="12"/>
      <c r="BE42" s="12"/>
      <c r="BF42" s="12"/>
      <c r="BG42" s="16"/>
      <c r="BH42" s="12"/>
      <c r="BI42" s="12"/>
      <c r="BJ42" s="12"/>
      <c r="BK42" s="12"/>
      <c r="BL42" s="12"/>
      <c r="BM42" s="12"/>
      <c r="BN42" s="13"/>
      <c r="BO42" s="13"/>
      <c r="BP42" s="13"/>
    </row>
    <row r="43" spans="1:74">
      <c r="A43" s="12"/>
      <c r="B43" s="13"/>
      <c r="C43" s="13"/>
      <c r="D43" s="13"/>
      <c r="E43" s="13"/>
      <c r="F43" s="13"/>
      <c r="G43" s="12"/>
      <c r="H43" s="12"/>
      <c r="I43" s="12"/>
      <c r="J43" s="12"/>
      <c r="K43" s="12"/>
      <c r="L43" s="13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8"/>
      <c r="AR43" s="13"/>
      <c r="AS43" s="8"/>
      <c r="AT43" s="12"/>
      <c r="AU43" s="12"/>
      <c r="AV43" s="13"/>
      <c r="AW43" s="15"/>
      <c r="AX43" s="15"/>
      <c r="AY43" s="15"/>
      <c r="AZ43" s="15"/>
      <c r="BA43" s="15"/>
      <c r="BB43" s="12"/>
      <c r="BC43" s="12"/>
      <c r="BD43" s="12"/>
      <c r="BE43" s="12"/>
      <c r="BF43" s="12"/>
      <c r="BG43" s="16"/>
      <c r="BH43" s="12"/>
      <c r="BI43" s="12"/>
      <c r="BJ43" s="12"/>
      <c r="BK43" s="12"/>
      <c r="BL43" s="12"/>
      <c r="BM43" s="12"/>
      <c r="BN43" s="13"/>
      <c r="BO43" s="13"/>
      <c r="BP43" s="13"/>
    </row>
    <row r="44" spans="1:74">
      <c r="A44" s="12"/>
      <c r="B44" s="13"/>
      <c r="C44" s="13"/>
      <c r="D44" s="13"/>
      <c r="E44" s="13"/>
      <c r="F44" s="13"/>
      <c r="G44" s="12"/>
      <c r="H44" s="12"/>
      <c r="I44" s="12"/>
      <c r="J44" s="12"/>
      <c r="K44" s="12"/>
      <c r="L44" s="13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3"/>
      <c r="AR44" s="13"/>
      <c r="AS44" s="8"/>
      <c r="AT44" s="12"/>
      <c r="AU44" s="12"/>
      <c r="AV44" s="13"/>
      <c r="AW44" s="15"/>
      <c r="AX44" s="15"/>
      <c r="AY44" s="15"/>
      <c r="AZ44" s="15"/>
      <c r="BA44" s="15"/>
      <c r="BB44" s="12"/>
      <c r="BC44" s="12"/>
      <c r="BD44" s="12"/>
      <c r="BE44" s="12"/>
      <c r="BF44" s="12"/>
      <c r="BG44" s="16"/>
      <c r="BH44" s="12"/>
      <c r="BI44" s="12"/>
      <c r="BJ44" s="12"/>
      <c r="BK44" s="12"/>
      <c r="BL44" s="12"/>
      <c r="BM44" s="12"/>
      <c r="BN44" s="13"/>
      <c r="BO44" s="13"/>
      <c r="BP44" s="13"/>
      <c r="BQ44" s="12"/>
      <c r="BR44" s="17"/>
      <c r="BS44" s="17"/>
      <c r="BT44" s="17"/>
      <c r="BU44" s="17"/>
      <c r="BV44" s="17"/>
    </row>
    <row r="45" spans="1:74">
      <c r="A45" s="12"/>
      <c r="B45" s="13"/>
      <c r="C45" s="13"/>
      <c r="D45" s="13"/>
      <c r="E45" s="13"/>
      <c r="F45" s="13"/>
      <c r="G45" s="12"/>
      <c r="H45" s="12"/>
      <c r="I45" s="12"/>
      <c r="J45" s="12"/>
      <c r="K45" s="12"/>
      <c r="L45" s="13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8"/>
      <c r="AR45" s="13"/>
      <c r="AS45" s="8"/>
      <c r="AT45" s="12"/>
      <c r="AU45" s="12"/>
      <c r="AV45" s="13"/>
      <c r="AW45" s="15"/>
      <c r="AX45" s="15"/>
      <c r="AY45" s="15"/>
      <c r="AZ45" s="15"/>
      <c r="BA45" s="15"/>
      <c r="BB45" s="12"/>
      <c r="BC45" s="12"/>
      <c r="BD45" s="12"/>
      <c r="BE45" s="12"/>
      <c r="BF45" s="12"/>
      <c r="BG45" s="16"/>
      <c r="BH45" s="12"/>
      <c r="BI45" s="12"/>
      <c r="BJ45" s="12"/>
      <c r="BK45" s="12"/>
      <c r="BL45" s="12"/>
      <c r="BM45" s="12"/>
      <c r="BN45" s="13"/>
      <c r="BO45" s="13"/>
      <c r="BP45" s="13"/>
    </row>
    <row r="46" spans="1:74">
      <c r="A46" s="12"/>
      <c r="B46" s="13"/>
      <c r="C46" s="13"/>
      <c r="D46" s="13"/>
      <c r="E46" s="13"/>
      <c r="F46" s="13"/>
      <c r="G46" s="12"/>
      <c r="H46" s="12"/>
      <c r="I46" s="12"/>
      <c r="J46" s="12"/>
      <c r="K46" s="12"/>
      <c r="L46" s="13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8"/>
      <c r="AR46" s="13"/>
      <c r="AS46" s="8"/>
      <c r="AT46" s="12"/>
      <c r="AU46" s="12"/>
      <c r="AV46" s="13"/>
      <c r="AW46" s="12"/>
      <c r="AX46" s="12"/>
      <c r="AY46" s="13"/>
      <c r="AZ46" s="13"/>
      <c r="BA46" s="8"/>
      <c r="BB46" s="12"/>
      <c r="BC46" s="12"/>
      <c r="BD46" s="12"/>
      <c r="BE46" s="12"/>
      <c r="BF46" s="12"/>
      <c r="BG46" s="16"/>
      <c r="BH46" s="12"/>
      <c r="BI46" s="12"/>
      <c r="BJ46" s="12"/>
      <c r="BK46" s="12"/>
      <c r="BL46" s="12"/>
      <c r="BM46" s="12"/>
      <c r="BN46" s="13"/>
      <c r="BO46" s="13"/>
      <c r="BP46" s="13"/>
    </row>
    <row r="47" spans="1:74">
      <c r="A47" s="12"/>
      <c r="B47" s="13"/>
      <c r="C47" s="13"/>
      <c r="D47" s="13"/>
      <c r="E47" s="13"/>
      <c r="F47" s="13"/>
      <c r="G47" s="12"/>
      <c r="H47" s="12"/>
      <c r="I47" s="12"/>
      <c r="J47" s="12"/>
      <c r="K47" s="12"/>
      <c r="L47" s="13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3"/>
      <c r="AR47" s="13"/>
      <c r="AS47" s="8"/>
      <c r="AT47" s="12"/>
      <c r="AU47" s="12"/>
      <c r="AV47" s="13"/>
      <c r="AW47" s="15"/>
      <c r="AX47" s="15"/>
      <c r="AY47" s="15"/>
      <c r="AZ47" s="15"/>
      <c r="BA47" s="15"/>
      <c r="BB47" s="12"/>
      <c r="BC47" s="12"/>
      <c r="BD47" s="12"/>
      <c r="BE47" s="12"/>
      <c r="BF47" s="12"/>
      <c r="BG47" s="16"/>
      <c r="BH47" s="12"/>
      <c r="BI47" s="12"/>
      <c r="BJ47" s="12"/>
      <c r="BK47" s="12"/>
      <c r="BL47" s="12"/>
      <c r="BM47" s="12"/>
      <c r="BN47" s="13"/>
      <c r="BO47" s="13"/>
      <c r="BP47" s="13"/>
    </row>
    <row r="48" spans="1:74">
      <c r="A48" s="12"/>
      <c r="B48" s="13"/>
      <c r="C48" s="13"/>
      <c r="D48" s="13"/>
      <c r="E48" s="13"/>
      <c r="F48" s="13"/>
      <c r="G48" s="12"/>
      <c r="H48" s="12"/>
      <c r="I48" s="12"/>
      <c r="J48" s="12"/>
      <c r="K48" s="12"/>
      <c r="L48" s="13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8"/>
      <c r="AM48" s="13"/>
      <c r="AN48" s="8"/>
      <c r="AO48" s="12"/>
      <c r="AP48" s="12"/>
      <c r="AQ48" s="13"/>
      <c r="AR48" s="13"/>
      <c r="AS48" s="13"/>
      <c r="AT48" s="12"/>
      <c r="AU48" s="12"/>
      <c r="AV48" s="13"/>
      <c r="AW48" s="15"/>
      <c r="AX48" s="15"/>
      <c r="AY48" s="15"/>
      <c r="AZ48" s="15"/>
      <c r="BA48" s="15"/>
      <c r="BB48" s="12"/>
      <c r="BC48" s="12"/>
      <c r="BD48" s="12"/>
      <c r="BE48" s="12"/>
      <c r="BF48" s="12"/>
      <c r="BG48" s="16"/>
      <c r="BH48" s="12"/>
      <c r="BI48" s="12"/>
      <c r="BJ48" s="12"/>
      <c r="BK48" s="12"/>
      <c r="BL48" s="12"/>
      <c r="BM48" s="12"/>
      <c r="BN48" s="13"/>
      <c r="BO48" s="13"/>
      <c r="BP48" s="13"/>
    </row>
    <row r="49" spans="1:68">
      <c r="A49" s="12"/>
      <c r="B49" s="13"/>
      <c r="C49" s="13"/>
      <c r="D49" s="13"/>
      <c r="E49" s="13"/>
      <c r="F49" s="13"/>
      <c r="G49" s="12"/>
      <c r="H49" s="12"/>
      <c r="I49" s="12"/>
      <c r="J49" s="12"/>
      <c r="K49" s="12"/>
      <c r="L49" s="13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8"/>
      <c r="AR49" s="13"/>
      <c r="AS49" s="8"/>
      <c r="AT49" s="12"/>
      <c r="AU49" s="12"/>
      <c r="AV49" s="13"/>
      <c r="AW49" s="15"/>
      <c r="AX49" s="15"/>
      <c r="AY49" s="15"/>
      <c r="AZ49" s="15"/>
      <c r="BA49" s="15"/>
      <c r="BB49" s="12"/>
      <c r="BC49" s="12"/>
      <c r="BD49" s="12"/>
      <c r="BE49" s="12"/>
      <c r="BF49" s="12"/>
      <c r="BG49" s="16"/>
      <c r="BH49" s="12"/>
      <c r="BI49" s="12"/>
      <c r="BJ49" s="12"/>
      <c r="BK49" s="12"/>
      <c r="BL49" s="12"/>
      <c r="BM49" s="12"/>
      <c r="BN49" s="13"/>
      <c r="BO49" s="13"/>
      <c r="BP49" s="13"/>
    </row>
    <row r="50" spans="1:68">
      <c r="A50" s="12"/>
      <c r="B50" s="13"/>
      <c r="C50" s="13"/>
      <c r="D50" s="13"/>
      <c r="E50" s="13"/>
      <c r="F50" s="13"/>
      <c r="G50" s="12"/>
      <c r="H50" s="12"/>
      <c r="I50" s="12"/>
      <c r="J50" s="12"/>
      <c r="K50" s="12"/>
      <c r="L50" s="13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3"/>
      <c r="AR50" s="13"/>
      <c r="AS50" s="13"/>
      <c r="AT50" s="12"/>
      <c r="AU50" s="12"/>
      <c r="AV50" s="13"/>
      <c r="AW50" s="15"/>
      <c r="AX50" s="15"/>
      <c r="AY50" s="15"/>
      <c r="AZ50" s="15"/>
      <c r="BA50" s="15"/>
      <c r="BB50" s="12"/>
      <c r="BC50" s="12"/>
      <c r="BD50" s="12"/>
      <c r="BE50" s="12"/>
      <c r="BF50" s="12"/>
      <c r="BG50" s="16"/>
      <c r="BH50" s="12"/>
      <c r="BI50" s="12"/>
      <c r="BJ50" s="12"/>
      <c r="BK50" s="12"/>
      <c r="BL50" s="12"/>
      <c r="BM50" s="12"/>
      <c r="BN50" s="13"/>
      <c r="BO50" s="13"/>
      <c r="BP50" s="13"/>
    </row>
    <row r="51" spans="1:68">
      <c r="A51" s="12"/>
      <c r="B51" s="13"/>
      <c r="C51" s="13"/>
      <c r="D51" s="13"/>
      <c r="E51" s="13"/>
      <c r="F51" s="13"/>
      <c r="G51" s="12"/>
      <c r="H51" s="12"/>
      <c r="I51" s="12"/>
      <c r="J51" s="12"/>
      <c r="K51" s="12"/>
      <c r="L51" s="13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8"/>
      <c r="AR51" s="13"/>
      <c r="AS51" s="8"/>
      <c r="AT51" s="12"/>
      <c r="AU51" s="12"/>
      <c r="AV51" s="13"/>
      <c r="AW51" s="15"/>
      <c r="AX51" s="15"/>
      <c r="AY51" s="15"/>
      <c r="AZ51" s="15"/>
      <c r="BA51" s="15"/>
      <c r="BB51" s="12"/>
      <c r="BC51" s="12"/>
      <c r="BD51" s="12"/>
      <c r="BE51" s="12"/>
      <c r="BF51" s="12"/>
      <c r="BG51" s="16"/>
      <c r="BH51" s="12"/>
      <c r="BI51" s="12"/>
      <c r="BJ51" s="12"/>
      <c r="BK51" s="12"/>
      <c r="BL51" s="12"/>
      <c r="BM51" s="12"/>
      <c r="BN51" s="13"/>
      <c r="BO51" s="13"/>
      <c r="BP51" s="13"/>
    </row>
    <row r="52" spans="1:68">
      <c r="A52" s="12"/>
      <c r="B52" s="13"/>
      <c r="C52" s="13"/>
      <c r="D52" s="13"/>
      <c r="E52" s="13"/>
      <c r="F52" s="13"/>
      <c r="G52" s="12"/>
      <c r="H52" s="12"/>
      <c r="I52" s="12"/>
      <c r="J52" s="12"/>
      <c r="K52" s="12"/>
      <c r="L52" s="13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3"/>
      <c r="AR52" s="13"/>
      <c r="AS52" s="8"/>
      <c r="AT52" s="12"/>
      <c r="AU52" s="12"/>
      <c r="AV52" s="13"/>
      <c r="AW52" s="12"/>
      <c r="AX52" s="12"/>
      <c r="AY52" s="13"/>
      <c r="AZ52" s="13"/>
      <c r="BA52" s="14"/>
      <c r="BB52" s="12"/>
      <c r="BC52" s="12"/>
      <c r="BD52" s="12"/>
      <c r="BE52" s="12"/>
      <c r="BF52" s="12"/>
      <c r="BG52" s="16"/>
      <c r="BH52" s="12"/>
      <c r="BI52" s="12"/>
      <c r="BJ52" s="12"/>
      <c r="BK52" s="12"/>
      <c r="BL52" s="12"/>
      <c r="BM52" s="12"/>
      <c r="BN52" s="13"/>
      <c r="BO52" s="13"/>
      <c r="BP52" s="13"/>
    </row>
    <row r="53" spans="1:68">
      <c r="A53" s="12"/>
      <c r="B53" s="13"/>
      <c r="C53" s="13"/>
      <c r="D53" s="13"/>
      <c r="E53" s="13"/>
      <c r="F53" s="13"/>
      <c r="G53" s="12"/>
      <c r="H53" s="12"/>
      <c r="I53" s="12"/>
      <c r="J53" s="12"/>
      <c r="K53" s="12"/>
      <c r="L53" s="13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3"/>
      <c r="AR53" s="13"/>
      <c r="AS53" s="8"/>
      <c r="AT53" s="12"/>
      <c r="AU53" s="12"/>
      <c r="AV53" s="13"/>
      <c r="AW53" s="15"/>
      <c r="AX53" s="15"/>
      <c r="AY53" s="15"/>
      <c r="AZ53" s="15"/>
      <c r="BA53" s="15"/>
      <c r="BB53" s="12"/>
      <c r="BC53" s="12"/>
      <c r="BD53" s="12"/>
      <c r="BE53" s="12"/>
      <c r="BF53" s="12"/>
      <c r="BG53" s="16"/>
      <c r="BH53" s="12"/>
      <c r="BI53" s="12"/>
      <c r="BJ53" s="12"/>
      <c r="BK53" s="12"/>
      <c r="BL53" s="12"/>
      <c r="BM53" s="12"/>
      <c r="BN53" s="13"/>
      <c r="BO53" s="13"/>
      <c r="BP53" s="13"/>
    </row>
    <row r="54" spans="1:68">
      <c r="A54" s="12"/>
      <c r="B54" s="13"/>
      <c r="C54" s="13"/>
      <c r="D54" s="13"/>
      <c r="E54" s="13"/>
      <c r="F54" s="13"/>
      <c r="G54" s="12"/>
      <c r="H54" s="12"/>
      <c r="I54" s="12"/>
      <c r="J54" s="12"/>
      <c r="K54" s="12"/>
      <c r="L54" s="13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3"/>
      <c r="AR54" s="13"/>
      <c r="AS54" s="8"/>
      <c r="AT54" s="12"/>
      <c r="AU54" s="12"/>
      <c r="AV54" s="13"/>
      <c r="AW54" s="15"/>
      <c r="AX54" s="15"/>
      <c r="AY54" s="15"/>
      <c r="AZ54" s="15"/>
      <c r="BA54" s="15"/>
      <c r="BB54" s="12"/>
      <c r="BC54" s="12"/>
      <c r="BD54" s="12"/>
      <c r="BE54" s="12"/>
      <c r="BF54" s="12"/>
      <c r="BG54" s="16"/>
      <c r="BH54" s="12"/>
      <c r="BI54" s="12"/>
      <c r="BJ54" s="12"/>
      <c r="BK54" s="12"/>
      <c r="BL54" s="12"/>
      <c r="BM54" s="12"/>
      <c r="BN54" s="13"/>
      <c r="BO54" s="13"/>
      <c r="BP54" s="13"/>
    </row>
    <row r="55" spans="1:68">
      <c r="A55" s="12"/>
      <c r="B55" s="13"/>
      <c r="C55" s="13"/>
      <c r="D55" s="13"/>
      <c r="E55" s="13"/>
      <c r="F55" s="13"/>
      <c r="G55" s="12"/>
      <c r="H55" s="12"/>
      <c r="I55" s="12"/>
      <c r="J55" s="12"/>
      <c r="K55" s="12"/>
      <c r="L55" s="13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8"/>
      <c r="AM55" s="13"/>
      <c r="AN55" s="8"/>
      <c r="AO55" s="12"/>
      <c r="AP55" s="12"/>
      <c r="AQ55" s="8"/>
      <c r="AR55" s="13"/>
      <c r="AS55" s="8"/>
      <c r="AT55" s="12"/>
      <c r="AU55" s="12"/>
      <c r="AV55" s="13"/>
      <c r="AW55" s="15"/>
      <c r="AX55" s="15"/>
      <c r="AY55" s="15"/>
      <c r="AZ55" s="15"/>
      <c r="BA55" s="15"/>
      <c r="BB55" s="12"/>
      <c r="BC55" s="12"/>
      <c r="BD55" s="12"/>
      <c r="BE55" s="12"/>
      <c r="BF55" s="12"/>
      <c r="BG55" s="16"/>
      <c r="BH55" s="12"/>
      <c r="BI55" s="12"/>
      <c r="BJ55" s="12"/>
      <c r="BK55" s="12"/>
      <c r="BL55" s="12"/>
      <c r="BM55" s="12"/>
      <c r="BN55" s="13"/>
      <c r="BO55" s="13"/>
      <c r="BP55" s="13"/>
    </row>
    <row r="56" spans="1:68">
      <c r="A56" s="12"/>
      <c r="B56" s="13"/>
      <c r="C56" s="13"/>
      <c r="D56" s="13"/>
      <c r="E56" s="13"/>
      <c r="F56" s="13"/>
      <c r="G56" s="12"/>
      <c r="H56" s="12"/>
      <c r="I56" s="12"/>
      <c r="J56" s="12"/>
      <c r="K56" s="12"/>
      <c r="L56" s="13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3"/>
      <c r="AR56" s="13"/>
      <c r="AS56" s="8"/>
      <c r="AT56" s="12"/>
      <c r="AU56" s="12"/>
      <c r="AV56" s="13"/>
      <c r="AW56" s="15"/>
      <c r="AX56" s="15"/>
      <c r="AY56" s="15"/>
      <c r="AZ56" s="15"/>
      <c r="BA56" s="15"/>
      <c r="BB56" s="12"/>
      <c r="BC56" s="12"/>
      <c r="BD56" s="12"/>
      <c r="BE56" s="12"/>
      <c r="BF56" s="12"/>
      <c r="BG56" s="16"/>
      <c r="BH56" s="12"/>
      <c r="BI56" s="12"/>
      <c r="BJ56" s="12"/>
      <c r="BK56" s="12"/>
      <c r="BL56" s="12"/>
      <c r="BM56" s="12"/>
      <c r="BN56" s="13"/>
      <c r="BO56" s="13"/>
      <c r="BP56" s="13"/>
    </row>
    <row r="57" spans="1:68">
      <c r="A57" s="12"/>
      <c r="B57" s="13"/>
      <c r="C57" s="13"/>
      <c r="D57" s="13"/>
      <c r="E57" s="13"/>
      <c r="F57" s="13"/>
      <c r="G57" s="12"/>
      <c r="H57" s="12"/>
      <c r="I57" s="12"/>
      <c r="J57" s="12"/>
      <c r="K57" s="12"/>
      <c r="L57" s="13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8"/>
      <c r="AR57" s="13"/>
      <c r="AS57" s="8"/>
      <c r="AT57" s="12"/>
      <c r="AU57" s="12"/>
      <c r="AV57" s="13"/>
      <c r="AW57" s="15"/>
      <c r="AX57" s="15"/>
      <c r="AY57" s="15"/>
      <c r="AZ57" s="15"/>
      <c r="BA57" s="15"/>
      <c r="BB57" s="12"/>
      <c r="BC57" s="12"/>
      <c r="BD57" s="12"/>
      <c r="BE57" s="12"/>
      <c r="BF57" s="12"/>
      <c r="BG57" s="16"/>
      <c r="BH57" s="12"/>
      <c r="BI57" s="12"/>
      <c r="BJ57" s="12"/>
      <c r="BK57" s="12"/>
      <c r="BL57" s="12"/>
      <c r="BM57" s="12"/>
      <c r="BN57" s="13"/>
      <c r="BO57" s="13"/>
      <c r="BP57" s="13"/>
    </row>
    <row r="58" spans="1:68">
      <c r="A58" s="12"/>
      <c r="B58" s="13"/>
      <c r="C58" s="13"/>
      <c r="D58" s="13"/>
      <c r="E58" s="13"/>
      <c r="F58" s="13"/>
      <c r="G58" s="12"/>
      <c r="H58" s="12"/>
      <c r="I58" s="12"/>
      <c r="J58" s="12"/>
      <c r="K58" s="12"/>
      <c r="L58" s="13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3"/>
      <c r="AR58" s="13"/>
      <c r="AS58" s="13"/>
      <c r="AT58" s="12"/>
      <c r="AU58" s="12"/>
      <c r="AV58" s="13"/>
      <c r="AW58" s="15"/>
      <c r="AX58" s="15"/>
      <c r="AY58" s="15"/>
      <c r="AZ58" s="15"/>
      <c r="BA58" s="15"/>
      <c r="BB58" s="12"/>
      <c r="BC58" s="12"/>
      <c r="BD58" s="12"/>
      <c r="BE58" s="12"/>
      <c r="BF58" s="12"/>
      <c r="BG58" s="16"/>
      <c r="BH58" s="12"/>
      <c r="BI58" s="12"/>
      <c r="BJ58" s="12"/>
      <c r="BK58" s="12"/>
      <c r="BL58" s="12"/>
      <c r="BM58" s="12"/>
      <c r="BN58" s="13"/>
      <c r="BO58" s="13"/>
      <c r="BP58" s="13"/>
    </row>
    <row r="59" spans="1:68">
      <c r="A59" s="12"/>
      <c r="B59" s="13"/>
      <c r="C59" s="13"/>
      <c r="D59" s="13"/>
      <c r="E59" s="13"/>
      <c r="F59" s="13"/>
      <c r="G59" s="12"/>
      <c r="H59" s="12"/>
      <c r="I59" s="12"/>
      <c r="J59" s="12"/>
      <c r="K59" s="12"/>
      <c r="L59" s="13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8"/>
      <c r="AR59" s="13"/>
      <c r="AS59" s="8"/>
      <c r="AT59" s="12"/>
      <c r="AU59" s="12"/>
      <c r="AV59" s="13"/>
      <c r="AW59" s="15"/>
      <c r="AX59" s="15"/>
      <c r="AY59" s="15"/>
      <c r="AZ59" s="15"/>
      <c r="BA59" s="15"/>
      <c r="BB59" s="12"/>
      <c r="BC59" s="12"/>
      <c r="BD59" s="12"/>
      <c r="BE59" s="12"/>
      <c r="BF59" s="12"/>
      <c r="BG59" s="16"/>
      <c r="BH59" s="12"/>
      <c r="BI59" s="12"/>
      <c r="BJ59" s="12"/>
      <c r="BK59" s="12"/>
      <c r="BL59" s="12"/>
      <c r="BM59" s="12"/>
      <c r="BN59" s="13"/>
      <c r="BO59" s="13"/>
      <c r="BP59" s="13"/>
    </row>
    <row r="60" spans="1:68">
      <c r="A60" s="12"/>
      <c r="B60" s="13"/>
      <c r="C60" s="13"/>
      <c r="D60" s="13"/>
      <c r="E60" s="13"/>
      <c r="F60" s="13"/>
      <c r="G60" s="12"/>
      <c r="H60" s="12"/>
      <c r="I60" s="12"/>
      <c r="J60" s="12"/>
      <c r="K60" s="12"/>
      <c r="L60" s="13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8"/>
      <c r="AR60" s="13"/>
      <c r="AS60" s="8"/>
      <c r="AT60" s="12"/>
      <c r="AU60" s="12"/>
      <c r="AV60" s="13"/>
      <c r="AW60" s="12"/>
      <c r="AX60" s="12"/>
      <c r="AY60" s="8"/>
      <c r="AZ60" s="13"/>
      <c r="BA60" s="8"/>
      <c r="BB60" s="12"/>
      <c r="BC60" s="12"/>
      <c r="BD60" s="12"/>
      <c r="BE60" s="12"/>
      <c r="BF60" s="12"/>
      <c r="BG60" s="16"/>
      <c r="BH60" s="12"/>
      <c r="BI60" s="12"/>
      <c r="BJ60" s="12"/>
      <c r="BK60" s="12"/>
      <c r="BL60" s="12"/>
      <c r="BM60" s="12"/>
      <c r="BN60" s="13"/>
      <c r="BO60" s="13"/>
      <c r="BP60" s="13"/>
    </row>
    <row r="61" spans="1:68">
      <c r="A61" s="12"/>
      <c r="B61" s="13"/>
      <c r="C61" s="13"/>
      <c r="D61" s="13"/>
      <c r="E61" s="13"/>
      <c r="F61" s="13"/>
      <c r="G61" s="12"/>
      <c r="H61" s="12"/>
      <c r="I61" s="12"/>
      <c r="J61" s="12"/>
      <c r="K61" s="12"/>
      <c r="L61" s="13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8"/>
      <c r="AR61" s="13"/>
      <c r="AS61" s="8"/>
      <c r="AT61" s="12"/>
      <c r="AU61" s="12"/>
      <c r="AV61" s="13"/>
      <c r="AW61" s="15"/>
      <c r="AX61" s="15"/>
      <c r="AY61" s="15"/>
      <c r="AZ61" s="15"/>
      <c r="BA61" s="15"/>
      <c r="BB61" s="12"/>
      <c r="BC61" s="12"/>
      <c r="BD61" s="12"/>
      <c r="BE61" s="12"/>
      <c r="BF61" s="12"/>
      <c r="BG61" s="16"/>
      <c r="BH61" s="12"/>
      <c r="BI61" s="12"/>
      <c r="BJ61" s="12"/>
      <c r="BK61" s="12"/>
      <c r="BL61" s="12"/>
      <c r="BM61" s="12"/>
      <c r="BN61" s="13"/>
      <c r="BO61" s="13"/>
      <c r="BP61" s="13"/>
    </row>
    <row r="62" spans="1:68">
      <c r="A62" s="12"/>
      <c r="B62" s="13"/>
      <c r="C62" s="13"/>
      <c r="D62" s="13"/>
      <c r="E62" s="13"/>
      <c r="F62" s="13"/>
      <c r="G62" s="12"/>
      <c r="H62" s="12"/>
      <c r="I62" s="12"/>
      <c r="J62" s="12"/>
      <c r="K62" s="12"/>
      <c r="L62" s="13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8"/>
      <c r="AM62" s="13"/>
      <c r="AN62" s="8"/>
      <c r="AO62" s="12"/>
      <c r="AP62" s="12"/>
      <c r="AQ62" s="13"/>
      <c r="AR62" s="13"/>
      <c r="AS62" s="13"/>
      <c r="AT62" s="12"/>
      <c r="AU62" s="12"/>
      <c r="AV62" s="13"/>
      <c r="AW62" s="15"/>
      <c r="AX62" s="15"/>
      <c r="AY62" s="15"/>
      <c r="AZ62" s="15"/>
      <c r="BA62" s="15"/>
      <c r="BB62" s="12"/>
      <c r="BC62" s="12"/>
      <c r="BD62" s="12"/>
      <c r="BE62" s="12"/>
      <c r="BF62" s="12"/>
      <c r="BG62" s="16"/>
      <c r="BH62" s="12"/>
      <c r="BI62" s="12"/>
      <c r="BJ62" s="12"/>
      <c r="BK62" s="12"/>
      <c r="BL62" s="12"/>
      <c r="BM62" s="12"/>
      <c r="BN62" s="13"/>
      <c r="BO62" s="13"/>
      <c r="BP62" s="13"/>
    </row>
    <row r="63" spans="1:68">
      <c r="A63" s="12"/>
      <c r="B63" s="13"/>
      <c r="C63" s="13"/>
      <c r="D63" s="13"/>
      <c r="E63" s="13"/>
      <c r="F63" s="13"/>
      <c r="G63" s="12"/>
      <c r="H63" s="12"/>
      <c r="I63" s="12"/>
      <c r="J63" s="12"/>
      <c r="K63" s="12"/>
      <c r="L63" s="13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3"/>
      <c r="AR63" s="13"/>
      <c r="AS63" s="8"/>
      <c r="AT63" s="12"/>
      <c r="AU63" s="12"/>
      <c r="AV63" s="13"/>
      <c r="AW63" s="15"/>
      <c r="AX63" s="15"/>
      <c r="AY63" s="15"/>
      <c r="AZ63" s="15"/>
      <c r="BA63" s="15"/>
      <c r="BB63" s="12"/>
      <c r="BC63" s="12"/>
      <c r="BD63" s="12"/>
      <c r="BE63" s="12"/>
      <c r="BF63" s="12"/>
      <c r="BG63" s="16"/>
      <c r="BH63" s="12"/>
      <c r="BI63" s="12"/>
      <c r="BJ63" s="12"/>
      <c r="BK63" s="12"/>
      <c r="BL63" s="12"/>
      <c r="BM63" s="12"/>
      <c r="BN63" s="13"/>
      <c r="BO63" s="13"/>
      <c r="BP63" s="13"/>
    </row>
    <row r="64" spans="1:68">
      <c r="A64" s="12"/>
      <c r="B64" s="13"/>
      <c r="C64" s="13"/>
      <c r="D64" s="13"/>
      <c r="E64" s="13"/>
      <c r="F64" s="13"/>
      <c r="G64" s="12"/>
      <c r="H64" s="12"/>
      <c r="I64" s="12"/>
      <c r="J64" s="12"/>
      <c r="K64" s="12"/>
      <c r="L64" s="13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3"/>
      <c r="AR64" s="13"/>
      <c r="AS64" s="13"/>
      <c r="AT64" s="12"/>
      <c r="AU64" s="12"/>
      <c r="AV64" s="13"/>
      <c r="AW64" s="15"/>
      <c r="AX64" s="15"/>
      <c r="AY64" s="15"/>
      <c r="AZ64" s="15"/>
      <c r="BA64" s="15"/>
      <c r="BB64" s="12"/>
      <c r="BC64" s="12"/>
      <c r="BD64" s="12"/>
      <c r="BE64" s="12"/>
      <c r="BF64" s="12"/>
      <c r="BG64" s="16"/>
      <c r="BH64" s="12"/>
      <c r="BI64" s="12"/>
      <c r="BJ64" s="12"/>
      <c r="BK64" s="12"/>
      <c r="BL64" s="12"/>
      <c r="BM64" s="12"/>
      <c r="BN64" s="13"/>
      <c r="BO64" s="13"/>
      <c r="BP64" s="13"/>
    </row>
    <row r="65" spans="1:68">
      <c r="A65" s="12"/>
      <c r="B65" s="13"/>
      <c r="C65" s="13"/>
      <c r="D65" s="13"/>
      <c r="E65" s="13"/>
      <c r="F65" s="13"/>
      <c r="G65" s="12"/>
      <c r="H65" s="12"/>
      <c r="I65" s="12"/>
      <c r="J65" s="12"/>
      <c r="K65" s="12"/>
      <c r="L65" s="13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3"/>
      <c r="AR65" s="13"/>
      <c r="AS65" s="13"/>
      <c r="AT65" s="12"/>
      <c r="AU65" s="12"/>
      <c r="AV65" s="13"/>
      <c r="AW65" s="15"/>
      <c r="AX65" s="15"/>
      <c r="AY65" s="15"/>
      <c r="AZ65" s="15"/>
      <c r="BA65" s="15"/>
      <c r="BB65" s="12"/>
      <c r="BC65" s="12"/>
      <c r="BD65" s="12"/>
      <c r="BE65" s="12"/>
      <c r="BF65" s="12"/>
      <c r="BG65" s="16"/>
      <c r="BH65" s="12"/>
      <c r="BI65" s="12"/>
      <c r="BJ65" s="12"/>
      <c r="BK65" s="12"/>
      <c r="BL65" s="12"/>
      <c r="BM65" s="12"/>
      <c r="BN65" s="13"/>
      <c r="BO65" s="13"/>
      <c r="BP65" s="13"/>
    </row>
    <row r="66" spans="1:68">
      <c r="A66" s="12"/>
      <c r="B66" s="13"/>
      <c r="C66" s="13"/>
      <c r="D66" s="13"/>
      <c r="E66" s="13"/>
      <c r="F66" s="13"/>
      <c r="G66" s="12"/>
      <c r="H66" s="12"/>
      <c r="I66" s="12"/>
      <c r="J66" s="12"/>
      <c r="K66" s="12"/>
      <c r="L66" s="13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8"/>
      <c r="AR66" s="13"/>
      <c r="AS66" s="8"/>
      <c r="AT66" s="12"/>
      <c r="AU66" s="12"/>
      <c r="AV66" s="13"/>
      <c r="AW66" s="15"/>
      <c r="AX66" s="15"/>
      <c r="AY66" s="15"/>
      <c r="AZ66" s="15"/>
      <c r="BA66" s="15"/>
      <c r="BB66" s="12"/>
      <c r="BC66" s="12"/>
      <c r="BD66" s="12"/>
      <c r="BE66" s="12"/>
      <c r="BF66" s="12"/>
      <c r="BG66" s="16"/>
      <c r="BH66" s="12"/>
      <c r="BI66" s="12"/>
      <c r="BJ66" s="12"/>
      <c r="BK66" s="12"/>
      <c r="BL66" s="12"/>
      <c r="BM66" s="12"/>
      <c r="BN66" s="13"/>
      <c r="BO66" s="13"/>
      <c r="BP66" s="13"/>
    </row>
    <row r="67" spans="1:68">
      <c r="A67" s="12"/>
      <c r="B67" s="13"/>
      <c r="C67" s="13"/>
      <c r="D67" s="13"/>
      <c r="E67" s="13"/>
      <c r="F67" s="13"/>
      <c r="G67" s="12"/>
      <c r="H67" s="12"/>
      <c r="I67" s="12"/>
      <c r="J67" s="12"/>
      <c r="K67" s="12"/>
      <c r="L67" s="13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8"/>
      <c r="AR67" s="13"/>
      <c r="AS67" s="8"/>
      <c r="AT67" s="12"/>
      <c r="AU67" s="12"/>
      <c r="AV67" s="13"/>
      <c r="AW67" s="12"/>
      <c r="AX67" s="12"/>
      <c r="AY67" s="8"/>
      <c r="AZ67" s="13"/>
      <c r="BA67" s="8"/>
      <c r="BB67" s="12"/>
      <c r="BC67" s="12"/>
      <c r="BD67" s="12"/>
      <c r="BE67" s="12"/>
      <c r="BF67" s="12"/>
      <c r="BG67" s="16"/>
      <c r="BH67" s="12"/>
      <c r="BI67" s="12"/>
      <c r="BJ67" s="12"/>
      <c r="BK67" s="12"/>
      <c r="BL67" s="12"/>
      <c r="BM67" s="12"/>
      <c r="BN67" s="13"/>
      <c r="BO67" s="13"/>
      <c r="BP67" s="13"/>
    </row>
    <row r="68" spans="1:68">
      <c r="A68" s="12"/>
      <c r="B68" s="13"/>
      <c r="C68" s="13"/>
      <c r="D68" s="13"/>
      <c r="E68" s="13"/>
      <c r="F68" s="13"/>
      <c r="G68" s="12"/>
      <c r="H68" s="12"/>
      <c r="I68" s="12"/>
      <c r="J68" s="12"/>
      <c r="K68" s="12"/>
      <c r="L68" s="13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8"/>
      <c r="AR68" s="13"/>
      <c r="AS68" s="8"/>
      <c r="AT68" s="12"/>
      <c r="AU68" s="12"/>
      <c r="AV68" s="13"/>
      <c r="AW68" s="15"/>
      <c r="AX68" s="15"/>
      <c r="AY68" s="15"/>
      <c r="AZ68" s="15"/>
      <c r="BA68" s="15"/>
      <c r="BB68" s="12"/>
      <c r="BC68" s="12"/>
      <c r="BD68" s="12"/>
      <c r="BE68" s="12"/>
      <c r="BF68" s="12"/>
      <c r="BG68" s="16"/>
      <c r="BH68" s="12"/>
      <c r="BI68" s="12"/>
      <c r="BJ68" s="12"/>
      <c r="BK68" s="12"/>
      <c r="BL68" s="12"/>
      <c r="BM68" s="12"/>
      <c r="BN68" s="13"/>
      <c r="BO68" s="13"/>
      <c r="BP68" s="13"/>
    </row>
    <row r="69" spans="1:68">
      <c r="A69" s="12"/>
      <c r="B69" s="13"/>
      <c r="C69" s="13"/>
      <c r="D69" s="13"/>
      <c r="E69" s="13"/>
      <c r="F69" s="13"/>
      <c r="G69" s="12"/>
      <c r="H69" s="12"/>
      <c r="I69" s="12"/>
      <c r="J69" s="12"/>
      <c r="K69" s="12"/>
      <c r="L69" s="13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8"/>
      <c r="AM69" s="13"/>
      <c r="AN69" s="8"/>
      <c r="AO69" s="12"/>
      <c r="AP69" s="12"/>
      <c r="AQ69" s="8"/>
      <c r="AR69" s="13"/>
      <c r="AS69" s="8"/>
      <c r="AT69" s="12"/>
      <c r="AU69" s="12"/>
      <c r="AV69" s="13"/>
      <c r="AW69" s="15"/>
      <c r="AX69" s="15"/>
      <c r="AY69" s="15"/>
      <c r="AZ69" s="15"/>
      <c r="BA69" s="15"/>
      <c r="BB69" s="12"/>
      <c r="BC69" s="12"/>
      <c r="BD69" s="12"/>
      <c r="BE69" s="12"/>
      <c r="BF69" s="12"/>
      <c r="BG69" s="16"/>
      <c r="BH69" s="12"/>
      <c r="BI69" s="12"/>
      <c r="BJ69" s="12"/>
      <c r="BK69" s="12"/>
      <c r="BL69" s="12"/>
      <c r="BM69" s="12"/>
      <c r="BN69" s="13"/>
      <c r="BO69" s="13"/>
      <c r="BP69" s="13"/>
    </row>
    <row r="70" spans="1:68">
      <c r="A70" s="12"/>
      <c r="B70" s="13"/>
      <c r="C70" s="13"/>
      <c r="D70" s="13"/>
      <c r="E70" s="13"/>
      <c r="F70" s="13"/>
      <c r="G70" s="12"/>
      <c r="H70" s="12"/>
      <c r="I70" s="12"/>
      <c r="J70" s="12"/>
      <c r="K70" s="12"/>
      <c r="L70" s="13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3"/>
      <c r="AR70" s="13"/>
      <c r="AS70" s="8"/>
      <c r="AT70" s="12"/>
      <c r="AU70" s="12"/>
      <c r="AV70" s="13"/>
      <c r="AW70" s="15"/>
      <c r="AX70" s="15"/>
      <c r="AY70" s="15"/>
      <c r="AZ70" s="15"/>
      <c r="BA70" s="15"/>
      <c r="BB70" s="12"/>
      <c r="BC70" s="12"/>
      <c r="BD70" s="12"/>
      <c r="BE70" s="12"/>
      <c r="BF70" s="12"/>
      <c r="BG70" s="16"/>
      <c r="BH70" s="12"/>
      <c r="BI70" s="12"/>
      <c r="BJ70" s="12"/>
      <c r="BK70" s="12"/>
      <c r="BL70" s="12"/>
      <c r="BM70" s="12"/>
      <c r="BN70" s="13"/>
      <c r="BO70" s="13"/>
      <c r="BP70" s="13"/>
    </row>
    <row r="71" spans="1:68">
      <c r="A71" s="12"/>
      <c r="B71" s="13"/>
      <c r="C71" s="13"/>
      <c r="D71" s="13"/>
      <c r="E71" s="13"/>
      <c r="F71" s="13"/>
      <c r="G71" s="12"/>
      <c r="H71" s="12"/>
      <c r="I71" s="12"/>
      <c r="J71" s="12"/>
      <c r="K71" s="12"/>
      <c r="L71" s="13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8"/>
      <c r="AR71" s="13"/>
      <c r="AS71" s="8"/>
      <c r="AT71" s="12"/>
      <c r="AU71" s="12"/>
      <c r="AV71" s="13"/>
      <c r="AW71" s="15"/>
      <c r="AX71" s="15"/>
      <c r="AY71" s="15"/>
      <c r="AZ71" s="15"/>
      <c r="BA71" s="15"/>
      <c r="BB71" s="12"/>
      <c r="BC71" s="12"/>
      <c r="BD71" s="12"/>
      <c r="BE71" s="12"/>
      <c r="BF71" s="12"/>
      <c r="BG71" s="16"/>
      <c r="BH71" s="12"/>
      <c r="BI71" s="12"/>
      <c r="BJ71" s="12"/>
      <c r="BK71" s="12"/>
      <c r="BL71" s="12"/>
      <c r="BM71" s="12"/>
      <c r="BN71" s="13"/>
      <c r="BO71" s="13"/>
      <c r="BP71" s="13"/>
    </row>
    <row r="72" spans="1:68">
      <c r="A72" s="12"/>
      <c r="B72" s="13"/>
      <c r="C72" s="13"/>
      <c r="D72" s="13"/>
      <c r="E72" s="13"/>
      <c r="F72" s="13"/>
      <c r="G72" s="12"/>
      <c r="H72" s="12"/>
      <c r="I72" s="12"/>
      <c r="J72" s="12"/>
      <c r="K72" s="12"/>
      <c r="L72" s="13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3"/>
      <c r="AR72" s="13"/>
      <c r="AS72" s="13"/>
      <c r="AT72" s="12"/>
      <c r="AU72" s="12"/>
      <c r="AV72" s="13"/>
      <c r="AW72" s="12"/>
      <c r="AX72" s="12"/>
      <c r="AY72" s="13"/>
      <c r="AZ72" s="13"/>
      <c r="BA72" s="14"/>
      <c r="BB72" s="12"/>
      <c r="BC72" s="12"/>
      <c r="BD72" s="12"/>
      <c r="BE72" s="12"/>
      <c r="BF72" s="12"/>
      <c r="BG72" s="16"/>
      <c r="BH72" s="12"/>
      <c r="BI72" s="12"/>
      <c r="BJ72" s="12"/>
      <c r="BK72" s="12"/>
      <c r="BL72" s="12"/>
      <c r="BM72" s="12"/>
      <c r="BN72" s="13"/>
      <c r="BO72" s="13"/>
      <c r="BP72" s="13"/>
    </row>
    <row r="73" spans="1:68">
      <c r="A73" s="12"/>
      <c r="B73" s="13"/>
      <c r="C73" s="13"/>
      <c r="D73" s="13"/>
      <c r="E73" s="13"/>
      <c r="F73" s="13"/>
      <c r="G73" s="12"/>
      <c r="H73" s="12"/>
      <c r="I73" s="12"/>
      <c r="J73" s="12"/>
      <c r="K73" s="12"/>
      <c r="L73" s="13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3"/>
      <c r="AR73" s="13"/>
      <c r="AS73" s="8"/>
      <c r="AT73" s="12"/>
      <c r="AU73" s="12"/>
      <c r="AV73" s="13"/>
      <c r="AW73" s="15"/>
      <c r="AX73" s="15"/>
      <c r="AY73" s="15"/>
      <c r="AZ73" s="15"/>
      <c r="BA73" s="15"/>
      <c r="BB73" s="12"/>
      <c r="BC73" s="12"/>
      <c r="BD73" s="12"/>
      <c r="BE73" s="12"/>
      <c r="BF73" s="12"/>
      <c r="BG73" s="16"/>
      <c r="BH73" s="12"/>
      <c r="BI73" s="12"/>
      <c r="BJ73" s="12"/>
      <c r="BK73" s="12"/>
      <c r="BL73" s="12"/>
      <c r="BM73" s="12"/>
      <c r="BN73" s="13"/>
      <c r="BO73" s="13"/>
      <c r="BP73" s="13"/>
    </row>
    <row r="74" spans="1:68">
      <c r="A74" s="12"/>
      <c r="B74" s="13"/>
      <c r="C74" s="13"/>
      <c r="D74" s="13"/>
      <c r="E74" s="13"/>
      <c r="F74" s="13"/>
      <c r="G74" s="12"/>
      <c r="H74" s="12"/>
      <c r="I74" s="12"/>
      <c r="J74" s="12"/>
      <c r="K74" s="12"/>
      <c r="L74" s="13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3"/>
      <c r="AR74" s="13"/>
      <c r="AS74" s="8"/>
      <c r="AT74" s="12"/>
      <c r="AU74" s="12"/>
      <c r="AV74" s="13"/>
      <c r="AW74" s="15"/>
      <c r="AX74" s="15"/>
      <c r="AY74" s="15"/>
      <c r="AZ74" s="15"/>
      <c r="BA74" s="15"/>
      <c r="BB74" s="12"/>
      <c r="BC74" s="12"/>
      <c r="BD74" s="12"/>
      <c r="BE74" s="12"/>
      <c r="BF74" s="12"/>
      <c r="BG74" s="16"/>
      <c r="BH74" s="12"/>
      <c r="BI74" s="12"/>
      <c r="BJ74" s="12"/>
      <c r="BK74" s="12"/>
      <c r="BL74" s="12"/>
      <c r="BM74" s="12"/>
      <c r="BN74" s="13"/>
      <c r="BO74" s="13"/>
      <c r="BP74" s="13"/>
    </row>
    <row r="75" spans="1:68">
      <c r="A75" s="12"/>
      <c r="B75" s="13"/>
      <c r="C75" s="13"/>
      <c r="D75" s="13"/>
      <c r="E75" s="13"/>
      <c r="F75" s="13"/>
      <c r="G75" s="12"/>
      <c r="H75" s="12"/>
      <c r="I75" s="12"/>
      <c r="J75" s="12"/>
      <c r="K75" s="12"/>
      <c r="L75" s="13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8"/>
      <c r="AR75" s="13"/>
      <c r="AS75" s="8"/>
      <c r="AT75" s="12"/>
      <c r="AU75" s="12"/>
      <c r="AV75" s="13"/>
      <c r="AW75" s="15"/>
      <c r="AX75" s="15"/>
      <c r="AY75" s="15"/>
      <c r="AZ75" s="15"/>
      <c r="BA75" s="15"/>
      <c r="BB75" s="12"/>
      <c r="BC75" s="12"/>
      <c r="BD75" s="12"/>
      <c r="BE75" s="12"/>
      <c r="BF75" s="12"/>
      <c r="BG75" s="16"/>
      <c r="BH75" s="12"/>
      <c r="BI75" s="12"/>
      <c r="BJ75" s="12"/>
      <c r="BK75" s="12"/>
      <c r="BL75" s="12"/>
      <c r="BM75" s="12"/>
      <c r="BN75" s="13"/>
      <c r="BO75" s="13"/>
      <c r="BP75" s="13"/>
    </row>
    <row r="76" spans="1:68">
      <c r="A76" s="12"/>
      <c r="B76" s="13"/>
      <c r="C76" s="13"/>
      <c r="D76" s="13"/>
      <c r="E76" s="13"/>
      <c r="F76" s="13"/>
      <c r="G76" s="12"/>
      <c r="H76" s="12"/>
      <c r="I76" s="12"/>
      <c r="J76" s="12"/>
      <c r="K76" s="12"/>
      <c r="L76" s="13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3"/>
      <c r="AM76" s="13"/>
      <c r="AN76" s="13"/>
      <c r="AO76" s="12"/>
      <c r="AP76" s="12"/>
      <c r="AQ76" s="8"/>
      <c r="AR76" s="13"/>
      <c r="AS76" s="8"/>
      <c r="AT76" s="12"/>
      <c r="AU76" s="12"/>
      <c r="AV76" s="13"/>
      <c r="AW76" s="15"/>
      <c r="AX76" s="15"/>
      <c r="AY76" s="15"/>
      <c r="AZ76" s="15"/>
      <c r="BA76" s="15"/>
      <c r="BB76" s="12"/>
      <c r="BC76" s="12"/>
      <c r="BD76" s="12"/>
      <c r="BE76" s="12"/>
      <c r="BF76" s="12"/>
      <c r="BG76" s="16"/>
      <c r="BH76" s="12"/>
      <c r="BI76" s="12"/>
      <c r="BJ76" s="12"/>
      <c r="BK76" s="12"/>
      <c r="BL76" s="12"/>
      <c r="BM76" s="12"/>
      <c r="BN76" s="13"/>
      <c r="BO76" s="13"/>
      <c r="BP76" s="13"/>
    </row>
    <row r="77" spans="1:68">
      <c r="A77" s="12"/>
      <c r="B77" s="13"/>
      <c r="C77" s="13"/>
      <c r="D77" s="13"/>
      <c r="E77" s="13"/>
      <c r="F77" s="13"/>
      <c r="G77" s="12"/>
      <c r="H77" s="12"/>
      <c r="I77" s="12"/>
      <c r="J77" s="12"/>
      <c r="K77" s="12"/>
      <c r="L77" s="13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3"/>
      <c r="AR77" s="13"/>
      <c r="AS77" s="8"/>
      <c r="AT77" s="12"/>
      <c r="AU77" s="12"/>
      <c r="AV77" s="13"/>
      <c r="AW77" s="15"/>
      <c r="AX77" s="15"/>
      <c r="AY77" s="15"/>
      <c r="AZ77" s="15"/>
      <c r="BA77" s="15"/>
      <c r="BB77" s="12"/>
      <c r="BC77" s="12"/>
      <c r="BD77" s="12"/>
      <c r="BE77" s="12"/>
      <c r="BF77" s="12"/>
      <c r="BG77" s="16"/>
      <c r="BH77" s="12"/>
      <c r="BI77" s="12"/>
      <c r="BJ77" s="12"/>
      <c r="BK77" s="12"/>
      <c r="BL77" s="12"/>
      <c r="BM77" s="12"/>
      <c r="BN77" s="13"/>
      <c r="BO77" s="13"/>
      <c r="BP77" s="13"/>
    </row>
    <row r="78" spans="1:68">
      <c r="A78" s="12"/>
      <c r="B78" s="13"/>
      <c r="C78" s="13"/>
      <c r="D78" s="13"/>
      <c r="E78" s="13"/>
      <c r="F78" s="13"/>
      <c r="G78" s="12"/>
      <c r="H78" s="12"/>
      <c r="I78" s="12"/>
      <c r="J78" s="12"/>
      <c r="K78" s="12"/>
      <c r="L78" s="13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8"/>
      <c r="AR78" s="13"/>
      <c r="AS78" s="8"/>
      <c r="AT78" s="12"/>
      <c r="AU78" s="12"/>
      <c r="AV78" s="13"/>
      <c r="AW78" s="15"/>
      <c r="AX78" s="15"/>
      <c r="AY78" s="15"/>
      <c r="AZ78" s="15"/>
      <c r="BA78" s="15"/>
      <c r="BB78" s="12"/>
      <c r="BC78" s="12"/>
      <c r="BD78" s="12"/>
      <c r="BE78" s="12"/>
      <c r="BF78" s="12"/>
      <c r="BG78" s="16"/>
      <c r="BH78" s="12"/>
      <c r="BI78" s="12"/>
      <c r="BJ78" s="12"/>
      <c r="BK78" s="12"/>
      <c r="BL78" s="12"/>
      <c r="BM78" s="12"/>
      <c r="BN78" s="13"/>
      <c r="BO78" s="13"/>
      <c r="BP78" s="13"/>
    </row>
    <row r="79" spans="1:68">
      <c r="A79" s="12"/>
      <c r="B79" s="13"/>
      <c r="C79" s="13"/>
      <c r="D79" s="13"/>
      <c r="E79" s="13"/>
      <c r="F79" s="13"/>
      <c r="G79" s="12"/>
      <c r="H79" s="12"/>
      <c r="I79" s="12"/>
      <c r="J79" s="12"/>
      <c r="K79" s="12"/>
      <c r="L79" s="13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8"/>
      <c r="AR79" s="13"/>
      <c r="AS79" s="8"/>
      <c r="AT79" s="12"/>
      <c r="AU79" s="12"/>
      <c r="AV79" s="13"/>
      <c r="AW79" s="15"/>
      <c r="AX79" s="15"/>
      <c r="AY79" s="15"/>
      <c r="AZ79" s="15"/>
      <c r="BA79" s="15"/>
      <c r="BB79" s="12"/>
      <c r="BC79" s="12"/>
      <c r="BD79" s="12"/>
      <c r="BE79" s="12"/>
      <c r="BF79" s="12"/>
      <c r="BG79" s="16"/>
      <c r="BH79" s="12"/>
      <c r="BI79" s="12"/>
      <c r="BJ79" s="12"/>
      <c r="BK79" s="12"/>
      <c r="BL79" s="12"/>
      <c r="BM79" s="12"/>
      <c r="BN79" s="13"/>
      <c r="BO79" s="13"/>
      <c r="BP79" s="13"/>
    </row>
    <row r="80" spans="1:68">
      <c r="A80" s="12"/>
      <c r="B80" s="13"/>
      <c r="C80" s="13"/>
      <c r="D80" s="13"/>
      <c r="E80" s="13"/>
      <c r="F80" s="13"/>
      <c r="G80" s="12"/>
      <c r="H80" s="12"/>
      <c r="I80" s="12"/>
      <c r="J80" s="12"/>
      <c r="K80" s="12"/>
      <c r="L80" s="13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8"/>
      <c r="AR80" s="13"/>
      <c r="AS80" s="8"/>
      <c r="AT80" s="12"/>
      <c r="AU80" s="12"/>
      <c r="AV80" s="13"/>
      <c r="AW80" s="15"/>
      <c r="AX80" s="15"/>
      <c r="AY80" s="15"/>
      <c r="AZ80" s="15"/>
      <c r="BA80" s="15"/>
      <c r="BB80" s="12"/>
      <c r="BC80" s="12"/>
      <c r="BD80" s="12"/>
      <c r="BE80" s="12"/>
      <c r="BF80" s="12"/>
      <c r="BG80" s="16"/>
      <c r="BH80" s="12"/>
      <c r="BI80" s="12"/>
      <c r="BJ80" s="12"/>
      <c r="BK80" s="12"/>
      <c r="BL80" s="12"/>
      <c r="BM80" s="12"/>
      <c r="BN80" s="13"/>
      <c r="BO80" s="13"/>
      <c r="BP80" s="13"/>
    </row>
    <row r="81" spans="1:68">
      <c r="A81" s="12"/>
      <c r="B81" s="13"/>
      <c r="C81" s="13"/>
      <c r="D81" s="13"/>
      <c r="E81" s="13"/>
      <c r="F81" s="13"/>
      <c r="G81" s="12"/>
      <c r="H81" s="12"/>
      <c r="I81" s="12"/>
      <c r="J81" s="12"/>
      <c r="K81" s="12"/>
      <c r="L81" s="13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8"/>
      <c r="AR81" s="13"/>
      <c r="AS81" s="8"/>
      <c r="AT81" s="12"/>
      <c r="AU81" s="12"/>
      <c r="AV81" s="13"/>
      <c r="AW81" s="12"/>
      <c r="AX81" s="12"/>
      <c r="AY81" s="8"/>
      <c r="AZ81" s="13"/>
      <c r="BA81" s="8"/>
      <c r="BB81" s="12"/>
      <c r="BC81" s="12"/>
      <c r="BD81" s="12"/>
      <c r="BE81" s="12"/>
      <c r="BF81" s="12"/>
      <c r="BG81" s="16"/>
      <c r="BH81" s="12"/>
      <c r="BI81" s="12"/>
      <c r="BJ81" s="12"/>
      <c r="BK81" s="12"/>
      <c r="BL81" s="12"/>
      <c r="BM81" s="12"/>
      <c r="BN81" s="13"/>
      <c r="BO81" s="13"/>
      <c r="BP81" s="13"/>
    </row>
    <row r="82" spans="1:68">
      <c r="A82" s="12"/>
      <c r="B82" s="13"/>
      <c r="C82" s="13"/>
      <c r="D82" s="13"/>
      <c r="E82" s="13"/>
      <c r="F82" s="13"/>
      <c r="G82" s="12"/>
      <c r="H82" s="12"/>
      <c r="I82" s="12"/>
      <c r="J82" s="12"/>
      <c r="K82" s="12"/>
      <c r="L82" s="13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3"/>
      <c r="AR82" s="13"/>
      <c r="AS82" s="8"/>
      <c r="AT82" s="12"/>
      <c r="AU82" s="12"/>
      <c r="AV82" s="13"/>
      <c r="AW82" s="15"/>
      <c r="AX82" s="15"/>
      <c r="AY82" s="15"/>
      <c r="AZ82" s="15"/>
      <c r="BA82" s="15"/>
      <c r="BB82" s="12"/>
      <c r="BC82" s="12"/>
      <c r="BD82" s="12"/>
      <c r="BE82" s="12"/>
      <c r="BF82" s="12"/>
      <c r="BG82" s="16"/>
      <c r="BH82" s="12"/>
      <c r="BI82" s="12"/>
      <c r="BJ82" s="12"/>
      <c r="BK82" s="12"/>
      <c r="BL82" s="12"/>
      <c r="BM82" s="12"/>
      <c r="BN82" s="13"/>
      <c r="BO82" s="13"/>
      <c r="BP82" s="13"/>
    </row>
    <row r="83" spans="1:68">
      <c r="A83" s="12"/>
      <c r="B83" s="13"/>
      <c r="C83" s="13"/>
      <c r="D83" s="13"/>
      <c r="E83" s="13"/>
      <c r="F83" s="13"/>
      <c r="G83" s="12"/>
      <c r="H83" s="12"/>
      <c r="I83" s="12"/>
      <c r="J83" s="12"/>
      <c r="K83" s="12"/>
      <c r="L83" s="13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8"/>
      <c r="AM83" s="13"/>
      <c r="AN83" s="8"/>
      <c r="AO83" s="12"/>
      <c r="AP83" s="12"/>
      <c r="AQ83" s="8"/>
      <c r="AR83" s="13"/>
      <c r="AS83" s="8"/>
      <c r="AT83" s="12"/>
      <c r="AU83" s="12"/>
      <c r="AV83" s="13"/>
      <c r="AW83" s="15"/>
      <c r="AX83" s="15"/>
      <c r="AY83" s="15"/>
      <c r="AZ83" s="15"/>
      <c r="BA83" s="15"/>
      <c r="BB83" s="12"/>
      <c r="BC83" s="12"/>
      <c r="BD83" s="12"/>
      <c r="BE83" s="12"/>
      <c r="BF83" s="12"/>
      <c r="BG83" s="16"/>
      <c r="BH83" s="12"/>
      <c r="BI83" s="12"/>
      <c r="BJ83" s="12"/>
      <c r="BK83" s="12"/>
      <c r="BL83" s="12"/>
      <c r="BM83" s="12"/>
      <c r="BN83" s="13"/>
      <c r="BO83" s="13"/>
      <c r="BP83" s="13"/>
    </row>
    <row r="84" spans="1:68">
      <c r="A84" s="12"/>
      <c r="B84" s="13"/>
      <c r="C84" s="13"/>
      <c r="D84" s="13"/>
      <c r="E84" s="13"/>
      <c r="F84" s="13"/>
      <c r="G84" s="12"/>
      <c r="H84" s="12"/>
      <c r="I84" s="12"/>
      <c r="J84" s="12"/>
      <c r="K84" s="12"/>
      <c r="L84" s="13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3"/>
      <c r="AR84" s="13"/>
      <c r="AS84" s="8"/>
      <c r="AT84" s="12"/>
      <c r="AU84" s="12"/>
      <c r="AV84" s="13"/>
      <c r="AW84" s="15"/>
      <c r="AX84" s="15"/>
      <c r="AY84" s="15"/>
      <c r="AZ84" s="15"/>
      <c r="BA84" s="15"/>
      <c r="BB84" s="12"/>
      <c r="BC84" s="12"/>
      <c r="BD84" s="12"/>
      <c r="BE84" s="12"/>
      <c r="BF84" s="12"/>
      <c r="BG84" s="16"/>
      <c r="BH84" s="12"/>
      <c r="BI84" s="12"/>
      <c r="BJ84" s="12"/>
      <c r="BK84" s="12"/>
      <c r="BL84" s="12"/>
      <c r="BM84" s="12"/>
      <c r="BN84" s="13"/>
      <c r="BO84" s="13"/>
      <c r="BP84" s="13"/>
    </row>
    <row r="85" spans="1:68">
      <c r="A85" s="12"/>
      <c r="B85" s="13"/>
      <c r="C85" s="13"/>
      <c r="D85" s="13"/>
      <c r="E85" s="13"/>
      <c r="F85" s="13"/>
      <c r="G85" s="12"/>
      <c r="H85" s="12"/>
      <c r="I85" s="12"/>
      <c r="J85" s="12"/>
      <c r="K85" s="12"/>
      <c r="L85" s="13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3"/>
      <c r="AR85" s="13"/>
      <c r="AS85" s="8"/>
      <c r="AT85" s="12"/>
      <c r="AU85" s="12"/>
      <c r="AV85" s="13"/>
      <c r="AW85" s="15"/>
      <c r="AX85" s="15"/>
      <c r="AY85" s="15"/>
      <c r="AZ85" s="15"/>
      <c r="BA85" s="15"/>
      <c r="BB85" s="12"/>
      <c r="BC85" s="12"/>
      <c r="BD85" s="12"/>
      <c r="BE85" s="12"/>
      <c r="BF85" s="12"/>
      <c r="BG85" s="16"/>
      <c r="BH85" s="12"/>
      <c r="BI85" s="12"/>
      <c r="BJ85" s="12"/>
      <c r="BK85" s="12"/>
      <c r="BL85" s="12"/>
      <c r="BM85" s="12"/>
      <c r="BN85" s="13"/>
      <c r="BO85" s="13"/>
      <c r="BP85" s="13"/>
    </row>
    <row r="86" spans="1:68">
      <c r="A86" s="12"/>
      <c r="B86" s="13"/>
      <c r="C86" s="13"/>
      <c r="D86" s="13"/>
      <c r="E86" s="13"/>
      <c r="F86" s="13"/>
      <c r="G86" s="12"/>
      <c r="H86" s="12"/>
      <c r="I86" s="12"/>
      <c r="J86" s="12"/>
      <c r="K86" s="12"/>
      <c r="L86" s="13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8"/>
      <c r="AR86" s="13"/>
      <c r="AS86" s="8"/>
      <c r="AT86" s="12"/>
      <c r="AU86" s="12"/>
      <c r="AV86" s="13"/>
      <c r="AW86" s="12"/>
      <c r="AX86" s="12"/>
      <c r="AY86" s="13"/>
      <c r="AZ86" s="13"/>
      <c r="BA86" s="13"/>
      <c r="BB86" s="12"/>
      <c r="BC86" s="12"/>
      <c r="BD86" s="12"/>
      <c r="BE86" s="12"/>
      <c r="BF86" s="12"/>
      <c r="BG86" s="16"/>
      <c r="BH86" s="12"/>
      <c r="BI86" s="12"/>
      <c r="BJ86" s="12"/>
      <c r="BK86" s="12"/>
      <c r="BL86" s="12"/>
      <c r="BM86" s="12"/>
      <c r="BN86" s="13"/>
      <c r="BO86" s="13"/>
      <c r="BP86" s="13"/>
    </row>
    <row r="87" spans="1:68">
      <c r="A87" s="12"/>
      <c r="B87" s="13"/>
      <c r="C87" s="13"/>
      <c r="D87" s="13"/>
      <c r="E87" s="13"/>
      <c r="F87" s="13"/>
      <c r="G87" s="12"/>
      <c r="H87" s="12"/>
      <c r="I87" s="12"/>
      <c r="J87" s="12"/>
      <c r="K87" s="12"/>
      <c r="L87" s="13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8"/>
      <c r="AR87" s="13"/>
      <c r="AS87" s="8"/>
      <c r="AT87" s="12"/>
      <c r="AU87" s="12"/>
      <c r="AV87" s="13"/>
      <c r="AW87" s="15"/>
      <c r="AX87" s="15"/>
      <c r="AY87" s="15"/>
      <c r="AZ87" s="15"/>
      <c r="BA87" s="15"/>
      <c r="BB87" s="12"/>
      <c r="BC87" s="12"/>
      <c r="BD87" s="12"/>
      <c r="BE87" s="12"/>
      <c r="BF87" s="12"/>
      <c r="BG87" s="16"/>
      <c r="BH87" s="12"/>
      <c r="BI87" s="12"/>
      <c r="BJ87" s="12"/>
      <c r="BK87" s="12"/>
      <c r="BL87" s="12"/>
      <c r="BM87" s="12"/>
      <c r="BN87" s="13"/>
      <c r="BO87" s="13"/>
      <c r="BP87" s="13"/>
    </row>
    <row r="88" spans="1:68">
      <c r="A88" s="12"/>
      <c r="B88" s="13"/>
      <c r="C88" s="13"/>
      <c r="D88" s="13"/>
      <c r="E88" s="13"/>
      <c r="F88" s="13"/>
      <c r="G88" s="12"/>
      <c r="H88" s="12"/>
      <c r="I88" s="12"/>
      <c r="J88" s="12"/>
      <c r="K88" s="12"/>
      <c r="L88" s="13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3"/>
      <c r="AR88" s="13"/>
      <c r="AS88" s="13"/>
      <c r="AT88" s="12"/>
      <c r="AU88" s="12"/>
      <c r="AV88" s="13"/>
      <c r="AW88" s="15"/>
      <c r="AX88" s="15"/>
      <c r="AY88" s="15"/>
      <c r="AZ88" s="15"/>
      <c r="BA88" s="15"/>
      <c r="BB88" s="12"/>
      <c r="BC88" s="12"/>
      <c r="BD88" s="12"/>
      <c r="BE88" s="12"/>
      <c r="BF88" s="12"/>
      <c r="BG88" s="16"/>
      <c r="BH88" s="12"/>
      <c r="BI88" s="12"/>
      <c r="BJ88" s="12"/>
      <c r="BK88" s="12"/>
      <c r="BL88" s="12"/>
      <c r="BM88" s="12"/>
      <c r="BN88" s="13"/>
      <c r="BO88" s="13"/>
      <c r="BP88" s="13"/>
    </row>
    <row r="89" spans="1:68">
      <c r="A89" s="12"/>
      <c r="B89" s="13"/>
      <c r="C89" s="13"/>
      <c r="D89" s="13"/>
      <c r="E89" s="13"/>
      <c r="F89" s="13"/>
      <c r="G89" s="12"/>
      <c r="H89" s="12"/>
      <c r="I89" s="12"/>
      <c r="J89" s="12"/>
      <c r="K89" s="12"/>
      <c r="L89" s="13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3"/>
      <c r="AR89" s="13"/>
      <c r="AS89" s="8"/>
      <c r="AT89" s="12"/>
      <c r="AU89" s="12"/>
      <c r="AV89" s="13"/>
      <c r="AW89" s="15"/>
      <c r="AX89" s="15"/>
      <c r="AY89" s="15"/>
      <c r="AZ89" s="15"/>
      <c r="BA89" s="15"/>
      <c r="BB89" s="12"/>
      <c r="BC89" s="12"/>
      <c r="BD89" s="12"/>
      <c r="BE89" s="12"/>
      <c r="BF89" s="12"/>
      <c r="BG89" s="16"/>
      <c r="BH89" s="12"/>
      <c r="BI89" s="12"/>
      <c r="BJ89" s="12"/>
      <c r="BK89" s="12"/>
      <c r="BL89" s="12"/>
      <c r="BM89" s="12"/>
      <c r="BN89" s="13"/>
      <c r="BO89" s="13"/>
      <c r="BP89" s="13"/>
    </row>
    <row r="90" spans="1:68">
      <c r="A90" s="12"/>
      <c r="B90" s="13"/>
      <c r="C90" s="13"/>
      <c r="D90" s="13"/>
      <c r="E90" s="13"/>
      <c r="F90" s="13"/>
      <c r="G90" s="12"/>
      <c r="H90" s="12"/>
      <c r="I90" s="12"/>
      <c r="J90" s="12"/>
      <c r="K90" s="12"/>
      <c r="L90" s="13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8"/>
      <c r="AM90" s="13"/>
      <c r="AN90" s="8"/>
      <c r="AO90" s="12"/>
      <c r="AP90" s="12"/>
      <c r="AQ90" s="8"/>
      <c r="AR90" s="13"/>
      <c r="AS90" s="8"/>
      <c r="AT90" s="12"/>
      <c r="AU90" s="12"/>
      <c r="AV90" s="13"/>
      <c r="AW90" s="15"/>
      <c r="AX90" s="15"/>
      <c r="AY90" s="15"/>
      <c r="AZ90" s="15"/>
      <c r="BA90" s="15"/>
      <c r="BB90" s="12"/>
      <c r="BC90" s="12"/>
      <c r="BD90" s="12"/>
      <c r="BE90" s="12"/>
      <c r="BF90" s="12"/>
      <c r="BG90" s="16"/>
      <c r="BH90" s="12"/>
      <c r="BI90" s="12"/>
      <c r="BJ90" s="12"/>
      <c r="BK90" s="12"/>
      <c r="BL90" s="12"/>
      <c r="BM90" s="12"/>
      <c r="BN90" s="13"/>
      <c r="BO90" s="13"/>
      <c r="BP90" s="13"/>
    </row>
    <row r="91" spans="1:68">
      <c r="A91" s="12"/>
      <c r="B91" s="13"/>
      <c r="C91" s="13"/>
      <c r="D91" s="13"/>
      <c r="E91" s="13"/>
      <c r="F91" s="13"/>
      <c r="G91" s="12"/>
      <c r="H91" s="12"/>
      <c r="I91" s="12"/>
      <c r="J91" s="12"/>
      <c r="K91" s="12"/>
      <c r="L91" s="13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8"/>
      <c r="AR91" s="13"/>
      <c r="AS91" s="8"/>
      <c r="AT91" s="12"/>
      <c r="AU91" s="12"/>
      <c r="AV91" s="13"/>
      <c r="AW91" s="12"/>
      <c r="AX91" s="12"/>
      <c r="AY91" s="13"/>
      <c r="AZ91" s="13"/>
      <c r="BA91" s="8"/>
      <c r="BB91" s="12"/>
      <c r="BC91" s="12"/>
      <c r="BD91" s="12"/>
      <c r="BE91" s="12"/>
      <c r="BF91" s="12"/>
      <c r="BG91" s="16"/>
      <c r="BH91" s="12"/>
      <c r="BI91" s="12"/>
      <c r="BJ91" s="12"/>
      <c r="BK91" s="12"/>
      <c r="BL91" s="12"/>
      <c r="BM91" s="12"/>
      <c r="BN91" s="13"/>
      <c r="BO91" s="13"/>
      <c r="BP91" s="13"/>
    </row>
    <row r="92" spans="1:68">
      <c r="A92" s="12"/>
      <c r="B92" s="13"/>
      <c r="C92" s="13"/>
      <c r="D92" s="13"/>
      <c r="E92" s="13"/>
      <c r="F92" s="13"/>
      <c r="G92" s="12"/>
      <c r="H92" s="12"/>
      <c r="I92" s="12"/>
      <c r="J92" s="12"/>
      <c r="K92" s="12"/>
      <c r="L92" s="13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8"/>
      <c r="AR92" s="13"/>
      <c r="AS92" s="8"/>
      <c r="AT92" s="12"/>
      <c r="AU92" s="12"/>
      <c r="AV92" s="13"/>
      <c r="AW92" s="15"/>
      <c r="AX92" s="15"/>
      <c r="AY92" s="15"/>
      <c r="AZ92" s="15"/>
      <c r="BA92" s="15"/>
      <c r="BB92" s="12"/>
      <c r="BC92" s="12"/>
      <c r="BD92" s="12"/>
      <c r="BE92" s="12"/>
      <c r="BF92" s="12"/>
      <c r="BG92" s="16"/>
      <c r="BH92" s="12"/>
      <c r="BI92" s="12"/>
      <c r="BJ92" s="12"/>
      <c r="BK92" s="12"/>
      <c r="BL92" s="12"/>
      <c r="BM92" s="12"/>
      <c r="BN92" s="13"/>
      <c r="BO92" s="13"/>
      <c r="BP92" s="13"/>
    </row>
    <row r="93" spans="1:68">
      <c r="A93" s="12"/>
      <c r="B93" s="13"/>
      <c r="C93" s="13"/>
      <c r="D93" s="13"/>
      <c r="E93" s="13"/>
      <c r="F93" s="13"/>
      <c r="G93" s="12"/>
      <c r="H93" s="12"/>
      <c r="I93" s="12"/>
      <c r="J93" s="12"/>
      <c r="K93" s="12"/>
      <c r="L93" s="13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8"/>
      <c r="AR93" s="13"/>
      <c r="AS93" s="18"/>
      <c r="AT93" s="12"/>
      <c r="AU93" s="12"/>
      <c r="AV93" s="13"/>
      <c r="AW93" s="15"/>
      <c r="AX93" s="15"/>
      <c r="AY93" s="15"/>
      <c r="AZ93" s="15"/>
      <c r="BA93" s="15"/>
      <c r="BB93" s="12"/>
      <c r="BC93" s="12"/>
      <c r="BD93" s="12"/>
      <c r="BE93" s="12"/>
      <c r="BF93" s="12"/>
      <c r="BG93" s="16"/>
      <c r="BH93" s="12"/>
      <c r="BI93" s="12"/>
      <c r="BJ93" s="12"/>
      <c r="BK93" s="12"/>
      <c r="BL93" s="12"/>
      <c r="BM93" s="12"/>
      <c r="BN93" s="13"/>
      <c r="BO93" s="13"/>
      <c r="BP93" s="13"/>
    </row>
    <row r="94" spans="1:68">
      <c r="A94" s="12"/>
      <c r="B94" s="13"/>
      <c r="C94" s="13"/>
      <c r="D94" s="13"/>
      <c r="E94" s="13"/>
      <c r="F94" s="13"/>
      <c r="G94" s="12"/>
      <c r="H94" s="12"/>
      <c r="I94" s="12"/>
      <c r="J94" s="12"/>
      <c r="K94" s="12"/>
      <c r="L94" s="13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3"/>
      <c r="AR94" s="13"/>
      <c r="AS94" s="8"/>
      <c r="AT94" s="12"/>
      <c r="AU94" s="12"/>
      <c r="AV94" s="13"/>
      <c r="AW94" s="15"/>
      <c r="AX94" s="15"/>
      <c r="AY94" s="15"/>
      <c r="AZ94" s="15"/>
      <c r="BA94" s="15"/>
      <c r="BB94" s="12"/>
      <c r="BC94" s="12"/>
      <c r="BD94" s="12"/>
      <c r="BE94" s="12"/>
      <c r="BF94" s="12"/>
      <c r="BG94" s="16"/>
      <c r="BH94" s="12"/>
      <c r="BI94" s="12"/>
      <c r="BJ94" s="12"/>
      <c r="BK94" s="12"/>
      <c r="BL94" s="12"/>
      <c r="BM94" s="12"/>
      <c r="BN94" s="13"/>
      <c r="BO94" s="13"/>
      <c r="BP94" s="13"/>
    </row>
    <row r="95" spans="1:68">
      <c r="A95" s="12"/>
      <c r="B95" s="13"/>
      <c r="C95" s="13"/>
      <c r="D95" s="13"/>
      <c r="E95" s="13"/>
      <c r="F95" s="13"/>
      <c r="G95" s="12"/>
      <c r="H95" s="12"/>
      <c r="I95" s="12"/>
      <c r="J95" s="12"/>
      <c r="K95" s="12"/>
      <c r="L95" s="13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8"/>
      <c r="AR95" s="13"/>
      <c r="AS95" s="8"/>
      <c r="AT95" s="12"/>
      <c r="AU95" s="12"/>
      <c r="AV95" s="13"/>
      <c r="AW95" s="15"/>
      <c r="AX95" s="15"/>
      <c r="AY95" s="15"/>
      <c r="AZ95" s="15"/>
      <c r="BA95" s="15"/>
      <c r="BB95" s="12"/>
      <c r="BC95" s="12"/>
      <c r="BD95" s="12"/>
      <c r="BE95" s="12"/>
      <c r="BF95" s="12"/>
      <c r="BG95" s="16"/>
      <c r="BH95" s="12"/>
      <c r="BI95" s="12"/>
      <c r="BJ95" s="12"/>
      <c r="BK95" s="12"/>
      <c r="BL95" s="12"/>
      <c r="BM95" s="12"/>
      <c r="BN95" s="13"/>
      <c r="BO95" s="13"/>
      <c r="BP95" s="13"/>
    </row>
    <row r="96" spans="1:68">
      <c r="A96" s="12"/>
      <c r="B96" s="13"/>
      <c r="C96" s="13"/>
      <c r="D96" s="13"/>
      <c r="E96" s="13"/>
      <c r="F96" s="13"/>
      <c r="G96" s="12"/>
      <c r="H96" s="12"/>
      <c r="I96" s="12"/>
      <c r="J96" s="12"/>
      <c r="K96" s="12"/>
      <c r="L96" s="13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3"/>
      <c r="AR96" s="13"/>
      <c r="AS96" s="13"/>
      <c r="AT96" s="12"/>
      <c r="AU96" s="12"/>
      <c r="AV96" s="13"/>
      <c r="AW96" s="12"/>
      <c r="AX96" s="12"/>
      <c r="AY96" s="8"/>
      <c r="AZ96" s="13"/>
      <c r="BA96" s="8"/>
      <c r="BB96" s="12"/>
      <c r="BC96" s="12"/>
      <c r="BD96" s="12"/>
      <c r="BE96" s="12"/>
      <c r="BF96" s="12"/>
      <c r="BG96" s="16"/>
      <c r="BH96" s="12"/>
      <c r="BI96" s="12"/>
      <c r="BJ96" s="12"/>
      <c r="BK96" s="12"/>
      <c r="BL96" s="12"/>
      <c r="BM96" s="12"/>
      <c r="BN96" s="13"/>
      <c r="BO96" s="13"/>
      <c r="BP96" s="13"/>
    </row>
    <row r="97" spans="1:68">
      <c r="A97" s="12"/>
      <c r="B97" s="13"/>
      <c r="C97" s="13"/>
      <c r="D97" s="13"/>
      <c r="E97" s="13"/>
      <c r="F97" s="13"/>
      <c r="G97" s="12"/>
      <c r="H97" s="12"/>
      <c r="I97" s="12"/>
      <c r="J97" s="12"/>
      <c r="K97" s="12"/>
      <c r="L97" s="13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8"/>
      <c r="AM97" s="13"/>
      <c r="AN97" s="8"/>
      <c r="AO97" s="12"/>
      <c r="AP97" s="12"/>
      <c r="AQ97" s="8"/>
      <c r="AR97" s="13"/>
      <c r="AS97" s="8"/>
      <c r="AT97" s="12"/>
      <c r="AU97" s="12"/>
      <c r="AV97" s="13"/>
      <c r="AW97" s="15"/>
      <c r="AX97" s="15"/>
      <c r="AY97" s="15"/>
      <c r="AZ97" s="15"/>
      <c r="BA97" s="15"/>
      <c r="BB97" s="12"/>
      <c r="BC97" s="12"/>
      <c r="BD97" s="12"/>
      <c r="BE97" s="12"/>
      <c r="BF97" s="12"/>
      <c r="BG97" s="16"/>
      <c r="BH97" s="12"/>
      <c r="BI97" s="12"/>
      <c r="BJ97" s="12"/>
      <c r="BK97" s="12"/>
      <c r="BL97" s="12"/>
      <c r="BM97" s="12"/>
      <c r="BN97" s="13"/>
      <c r="BO97" s="13"/>
      <c r="BP97" s="13"/>
    </row>
    <row r="98" spans="1:68">
      <c r="A98" s="12"/>
      <c r="B98" s="13"/>
      <c r="C98" s="13"/>
      <c r="D98" s="13"/>
      <c r="E98" s="13"/>
      <c r="F98" s="13"/>
      <c r="G98" s="12"/>
      <c r="H98" s="12"/>
      <c r="I98" s="12"/>
      <c r="J98" s="12"/>
      <c r="K98" s="12"/>
      <c r="L98" s="13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3"/>
      <c r="AR98" s="13"/>
      <c r="AS98" s="8"/>
      <c r="AT98" s="12"/>
      <c r="AU98" s="12"/>
      <c r="AV98" s="13"/>
      <c r="AW98" s="15"/>
      <c r="AX98" s="15"/>
      <c r="AY98" s="15"/>
      <c r="AZ98" s="15"/>
      <c r="BA98" s="15"/>
      <c r="BB98" s="12"/>
      <c r="BC98" s="12"/>
      <c r="BD98" s="12"/>
      <c r="BE98" s="12"/>
      <c r="BF98" s="12"/>
      <c r="BG98" s="16"/>
      <c r="BH98" s="12"/>
      <c r="BI98" s="12"/>
      <c r="BJ98" s="12"/>
      <c r="BK98" s="12"/>
      <c r="BL98" s="12"/>
      <c r="BM98" s="12"/>
      <c r="BN98" s="13"/>
      <c r="BO98" s="13"/>
      <c r="BP98" s="13"/>
    </row>
    <row r="99" spans="1:68">
      <c r="A99" s="12"/>
      <c r="B99" s="13"/>
      <c r="C99" s="13"/>
      <c r="D99" s="13"/>
      <c r="E99" s="13"/>
      <c r="F99" s="13"/>
      <c r="G99" s="12"/>
      <c r="H99" s="12"/>
      <c r="I99" s="12"/>
      <c r="J99" s="12"/>
      <c r="K99" s="12"/>
      <c r="L99" s="13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8"/>
      <c r="AR99" s="13"/>
      <c r="AS99" s="8"/>
      <c r="AT99" s="12"/>
      <c r="AU99" s="12"/>
      <c r="AV99" s="13"/>
      <c r="AW99" s="15"/>
      <c r="AX99" s="15"/>
      <c r="AY99" s="15"/>
      <c r="AZ99" s="15"/>
      <c r="BA99" s="15"/>
      <c r="BB99" s="12"/>
      <c r="BC99" s="12"/>
      <c r="BD99" s="12"/>
      <c r="BE99" s="12"/>
      <c r="BF99" s="12"/>
      <c r="BG99" s="16"/>
      <c r="BH99" s="12"/>
      <c r="BI99" s="12"/>
      <c r="BJ99" s="12"/>
      <c r="BK99" s="12"/>
      <c r="BL99" s="12"/>
      <c r="BM99" s="12"/>
      <c r="BN99" s="13"/>
      <c r="BO99" s="13"/>
      <c r="BP99" s="13"/>
    </row>
    <row r="100" spans="1:68">
      <c r="A100" s="12"/>
      <c r="B100" s="13"/>
      <c r="C100" s="13"/>
      <c r="D100" s="13"/>
      <c r="E100" s="13"/>
      <c r="F100" s="13"/>
      <c r="G100" s="12"/>
      <c r="H100" s="12"/>
      <c r="I100" s="12"/>
      <c r="J100" s="12"/>
      <c r="K100" s="12"/>
      <c r="L100" s="13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8"/>
      <c r="AR100" s="13"/>
      <c r="AS100" s="8"/>
      <c r="AT100" s="12"/>
      <c r="AU100" s="12"/>
      <c r="AV100" s="13"/>
      <c r="AW100" s="15"/>
      <c r="AX100" s="15"/>
      <c r="AY100" s="15"/>
      <c r="AZ100" s="15"/>
      <c r="BA100" s="15"/>
      <c r="BB100" s="12"/>
      <c r="BC100" s="12"/>
      <c r="BD100" s="12"/>
      <c r="BE100" s="12"/>
      <c r="BF100" s="12"/>
      <c r="BG100" s="16"/>
      <c r="BH100" s="12"/>
      <c r="BI100" s="12"/>
      <c r="BJ100" s="12"/>
      <c r="BK100" s="12"/>
      <c r="BL100" s="12"/>
      <c r="BM100" s="12"/>
      <c r="BN100" s="13"/>
      <c r="BO100" s="13"/>
      <c r="BP100" s="13"/>
    </row>
    <row r="101" spans="1:68">
      <c r="A101" s="12"/>
      <c r="B101" s="13"/>
      <c r="C101" s="13"/>
      <c r="D101" s="13"/>
      <c r="E101" s="13"/>
      <c r="F101" s="13"/>
      <c r="G101" s="12"/>
      <c r="H101" s="12"/>
      <c r="I101" s="12"/>
      <c r="J101" s="12"/>
      <c r="K101" s="12"/>
      <c r="L101" s="13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3"/>
      <c r="AR101" s="13"/>
      <c r="AS101" s="8"/>
      <c r="AT101" s="12"/>
      <c r="AU101" s="12"/>
      <c r="AV101" s="13"/>
      <c r="AW101" s="15"/>
      <c r="AX101" s="15"/>
      <c r="AY101" s="15"/>
      <c r="AZ101" s="15"/>
      <c r="BA101" s="15"/>
      <c r="BB101" s="12"/>
      <c r="BC101" s="12"/>
      <c r="BD101" s="12"/>
      <c r="BE101" s="12"/>
      <c r="BF101" s="12"/>
      <c r="BG101" s="16"/>
      <c r="BH101" s="12"/>
      <c r="BI101" s="12"/>
      <c r="BJ101" s="12"/>
      <c r="BK101" s="12"/>
      <c r="BL101" s="12"/>
      <c r="BM101" s="12"/>
      <c r="BN101" s="13"/>
      <c r="BO101" s="13"/>
      <c r="BP101" s="13"/>
    </row>
    <row r="102" spans="1:68">
      <c r="A102" s="12"/>
      <c r="B102" s="13"/>
      <c r="C102" s="13"/>
      <c r="D102" s="13"/>
      <c r="E102" s="13"/>
      <c r="F102" s="13"/>
      <c r="G102" s="12"/>
      <c r="H102" s="12"/>
      <c r="I102" s="12"/>
      <c r="J102" s="12"/>
      <c r="K102" s="12"/>
      <c r="L102" s="13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8"/>
      <c r="AR102" s="13"/>
      <c r="AS102" s="8"/>
      <c r="AT102" s="12"/>
      <c r="AU102" s="12"/>
      <c r="AV102" s="13"/>
      <c r="AW102" s="15"/>
      <c r="AX102" s="15"/>
      <c r="AY102" s="15"/>
      <c r="AZ102" s="15"/>
      <c r="BA102" s="15"/>
      <c r="BB102" s="12"/>
      <c r="BC102" s="12"/>
      <c r="BD102" s="12"/>
      <c r="BE102" s="12"/>
      <c r="BF102" s="12"/>
      <c r="BG102" s="16"/>
      <c r="BH102" s="12"/>
      <c r="BI102" s="12"/>
      <c r="BJ102" s="12"/>
      <c r="BK102" s="12"/>
      <c r="BL102" s="12"/>
      <c r="BM102" s="12"/>
      <c r="BN102" s="13"/>
      <c r="BO102" s="13"/>
      <c r="BP102" s="13"/>
    </row>
    <row r="103" spans="1:68">
      <c r="A103" s="12"/>
      <c r="B103" s="13"/>
      <c r="C103" s="13"/>
      <c r="D103" s="13"/>
      <c r="E103" s="13"/>
      <c r="F103" s="13"/>
      <c r="G103" s="12"/>
      <c r="H103" s="12"/>
      <c r="I103" s="12"/>
      <c r="J103" s="12"/>
      <c r="K103" s="12"/>
      <c r="L103" s="13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3"/>
      <c r="AR103" s="13"/>
      <c r="AS103" s="8"/>
      <c r="AT103" s="12"/>
      <c r="AU103" s="12"/>
      <c r="AV103" s="13"/>
      <c r="AW103" s="15"/>
      <c r="AX103" s="15"/>
      <c r="AY103" s="15"/>
      <c r="AZ103" s="15"/>
      <c r="BA103" s="15"/>
      <c r="BB103" s="12"/>
      <c r="BC103" s="12"/>
      <c r="BD103" s="12"/>
      <c r="BE103" s="12"/>
      <c r="BF103" s="12"/>
      <c r="BG103" s="16"/>
      <c r="BH103" s="12"/>
      <c r="BI103" s="12"/>
      <c r="BJ103" s="12"/>
      <c r="BK103" s="12"/>
      <c r="BL103" s="12"/>
      <c r="BM103" s="12"/>
      <c r="BN103" s="13"/>
      <c r="BO103" s="13"/>
      <c r="BP103" s="13"/>
    </row>
    <row r="104" spans="1:68">
      <c r="A104" s="12"/>
      <c r="B104" s="13"/>
      <c r="C104" s="13"/>
      <c r="D104" s="13"/>
      <c r="E104" s="13"/>
      <c r="F104" s="13"/>
      <c r="G104" s="12"/>
      <c r="H104" s="12"/>
      <c r="I104" s="12"/>
      <c r="J104" s="12"/>
      <c r="K104" s="12"/>
      <c r="L104" s="13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3"/>
      <c r="AM104" s="13"/>
      <c r="AN104" s="13"/>
      <c r="AO104" s="12"/>
      <c r="AP104" s="12"/>
      <c r="AQ104" s="8"/>
      <c r="AR104" s="13"/>
      <c r="AS104" s="8"/>
      <c r="AT104" s="12"/>
      <c r="AU104" s="12"/>
      <c r="AV104" s="13"/>
      <c r="AW104" s="15"/>
      <c r="AX104" s="15"/>
      <c r="AY104" s="15"/>
      <c r="AZ104" s="15"/>
      <c r="BA104" s="15"/>
      <c r="BB104" s="12"/>
      <c r="BC104" s="12"/>
      <c r="BD104" s="12"/>
      <c r="BE104" s="12"/>
      <c r="BF104" s="12"/>
      <c r="BG104" s="16"/>
      <c r="BH104" s="12"/>
      <c r="BI104" s="12"/>
      <c r="BJ104" s="12"/>
      <c r="BK104" s="12"/>
      <c r="BL104" s="12"/>
      <c r="BM104" s="12"/>
      <c r="BN104" s="13"/>
      <c r="BO104" s="13"/>
      <c r="BP104" s="13"/>
    </row>
    <row r="105" spans="1:68">
      <c r="A105" s="12"/>
      <c r="B105" s="13"/>
      <c r="C105" s="13"/>
      <c r="D105" s="13"/>
      <c r="E105" s="13"/>
      <c r="F105" s="13"/>
      <c r="G105" s="12"/>
      <c r="H105" s="12"/>
      <c r="I105" s="12"/>
      <c r="J105" s="12"/>
      <c r="K105" s="12"/>
      <c r="L105" s="13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8"/>
      <c r="AR105" s="13"/>
      <c r="AS105" s="8"/>
      <c r="AT105" s="12"/>
      <c r="AU105" s="12"/>
      <c r="AV105" s="13"/>
      <c r="AW105" s="15"/>
      <c r="AX105" s="15"/>
      <c r="AY105" s="15"/>
      <c r="AZ105" s="15"/>
      <c r="BA105" s="15"/>
      <c r="BB105" s="12"/>
      <c r="BC105" s="12"/>
      <c r="BD105" s="12"/>
      <c r="BE105" s="12"/>
      <c r="BF105" s="12"/>
      <c r="BG105" s="16"/>
      <c r="BH105" s="12"/>
      <c r="BI105" s="12"/>
      <c r="BJ105" s="12"/>
      <c r="BK105" s="12"/>
      <c r="BL105" s="12"/>
      <c r="BM105" s="12"/>
      <c r="BN105" s="13"/>
      <c r="BO105" s="13"/>
      <c r="BP105" s="13"/>
    </row>
    <row r="106" spans="1:68">
      <c r="A106" s="12"/>
      <c r="B106" s="13"/>
      <c r="C106" s="13"/>
      <c r="D106" s="13"/>
      <c r="E106" s="13"/>
      <c r="F106" s="13"/>
      <c r="G106" s="12"/>
      <c r="H106" s="12"/>
      <c r="I106" s="12"/>
      <c r="J106" s="12"/>
      <c r="K106" s="12"/>
      <c r="L106" s="13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8"/>
      <c r="AR106" s="13"/>
      <c r="AS106" s="8"/>
      <c r="AT106" s="12"/>
      <c r="AU106" s="12"/>
      <c r="AV106" s="13"/>
      <c r="AW106" s="15"/>
      <c r="AX106" s="15"/>
      <c r="AY106" s="15"/>
      <c r="AZ106" s="15"/>
      <c r="BA106" s="15"/>
      <c r="BB106" s="12"/>
      <c r="BC106" s="12"/>
      <c r="BD106" s="12"/>
      <c r="BE106" s="12"/>
      <c r="BF106" s="12"/>
      <c r="BG106" s="16"/>
      <c r="BH106" s="12"/>
      <c r="BI106" s="12"/>
      <c r="BJ106" s="12"/>
      <c r="BK106" s="12"/>
      <c r="BL106" s="12"/>
      <c r="BM106" s="12"/>
      <c r="BN106" s="13"/>
      <c r="BO106" s="13"/>
      <c r="BP106" s="13"/>
    </row>
    <row r="107" spans="1:68">
      <c r="A107" s="12"/>
      <c r="B107" s="13"/>
      <c r="C107" s="13"/>
      <c r="D107" s="13"/>
      <c r="E107" s="13"/>
      <c r="F107" s="13"/>
      <c r="G107" s="12"/>
      <c r="H107" s="12"/>
      <c r="I107" s="12"/>
      <c r="J107" s="12"/>
      <c r="K107" s="12"/>
      <c r="L107" s="13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8"/>
      <c r="AR107" s="13"/>
      <c r="AS107" s="8"/>
      <c r="AT107" s="12"/>
      <c r="AU107" s="12"/>
      <c r="AV107" s="13"/>
      <c r="AW107" s="15"/>
      <c r="AX107" s="15"/>
      <c r="AY107" s="15"/>
      <c r="AZ107" s="15"/>
      <c r="BA107" s="15"/>
      <c r="BB107" s="12"/>
      <c r="BC107" s="12"/>
      <c r="BD107" s="12"/>
      <c r="BE107" s="12"/>
      <c r="BF107" s="12"/>
      <c r="BG107" s="16"/>
      <c r="BH107" s="12"/>
      <c r="BI107" s="12"/>
      <c r="BJ107" s="12"/>
      <c r="BK107" s="12"/>
      <c r="BL107" s="12"/>
      <c r="BM107" s="12"/>
      <c r="BN107" s="13"/>
      <c r="BO107" s="13"/>
      <c r="BP107" s="13"/>
    </row>
    <row r="108" spans="1:68">
      <c r="A108" s="12"/>
      <c r="B108" s="13"/>
      <c r="C108" s="13"/>
      <c r="D108" s="13"/>
      <c r="E108" s="13"/>
      <c r="F108" s="13"/>
      <c r="G108" s="12"/>
      <c r="H108" s="12"/>
      <c r="I108" s="12"/>
      <c r="J108" s="12"/>
      <c r="K108" s="12"/>
      <c r="L108" s="13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3"/>
      <c r="AR108" s="13"/>
      <c r="AS108" s="13"/>
      <c r="AT108" s="12"/>
      <c r="AU108" s="12"/>
      <c r="AV108" s="13"/>
      <c r="AW108" s="12"/>
      <c r="AX108" s="12"/>
      <c r="AY108" s="13"/>
      <c r="AZ108" s="13"/>
      <c r="BA108" s="13"/>
      <c r="BB108" s="12"/>
      <c r="BC108" s="12"/>
      <c r="BD108" s="12"/>
      <c r="BE108" s="12"/>
      <c r="BF108" s="12"/>
      <c r="BG108" s="16"/>
      <c r="BH108" s="12"/>
      <c r="BI108" s="12"/>
      <c r="BJ108" s="12"/>
      <c r="BK108" s="12"/>
      <c r="BL108" s="12"/>
      <c r="BM108" s="12"/>
      <c r="BN108" s="13"/>
      <c r="BO108" s="13"/>
      <c r="BP108" s="13"/>
    </row>
    <row r="109" spans="1:68">
      <c r="A109" s="12"/>
      <c r="B109" s="13"/>
      <c r="C109" s="13"/>
      <c r="D109" s="13"/>
      <c r="E109" s="13"/>
      <c r="F109" s="13"/>
      <c r="G109" s="12"/>
      <c r="H109" s="12"/>
      <c r="I109" s="12"/>
      <c r="J109" s="12"/>
      <c r="K109" s="12"/>
      <c r="L109" s="13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8"/>
      <c r="AR109" s="13"/>
      <c r="AS109" s="8"/>
      <c r="AT109" s="12"/>
      <c r="AU109" s="12"/>
      <c r="AV109" s="13"/>
      <c r="AW109" s="15"/>
      <c r="AX109" s="15"/>
      <c r="AY109" s="15"/>
      <c r="AZ109" s="15"/>
      <c r="BA109" s="15"/>
      <c r="BB109" s="12"/>
      <c r="BC109" s="12"/>
      <c r="BD109" s="12"/>
      <c r="BE109" s="12"/>
      <c r="BF109" s="12"/>
      <c r="BG109" s="16"/>
      <c r="BH109" s="12"/>
      <c r="BI109" s="12"/>
      <c r="BJ109" s="12"/>
      <c r="BK109" s="12"/>
      <c r="BL109" s="12"/>
      <c r="BM109" s="12"/>
      <c r="BN109" s="13"/>
      <c r="BO109" s="13"/>
      <c r="BP109" s="13"/>
    </row>
    <row r="110" spans="1:68">
      <c r="A110" s="12"/>
      <c r="B110" s="13"/>
      <c r="C110" s="13"/>
      <c r="D110" s="13"/>
      <c r="E110" s="13"/>
      <c r="F110" s="13"/>
      <c r="G110" s="12"/>
      <c r="H110" s="12"/>
      <c r="I110" s="12"/>
      <c r="J110" s="12"/>
      <c r="K110" s="12"/>
      <c r="L110" s="13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8"/>
      <c r="AR110" s="13"/>
      <c r="AS110" s="8"/>
      <c r="AT110" s="12"/>
      <c r="AU110" s="12"/>
      <c r="AV110" s="13"/>
      <c r="AW110" s="15"/>
      <c r="AX110" s="15"/>
      <c r="AY110" s="15"/>
      <c r="AZ110" s="15"/>
      <c r="BA110" s="15"/>
      <c r="BB110" s="12"/>
      <c r="BC110" s="12"/>
      <c r="BD110" s="12"/>
      <c r="BE110" s="12"/>
      <c r="BF110" s="12"/>
      <c r="BG110" s="16"/>
      <c r="BH110" s="12"/>
      <c r="BI110" s="12"/>
      <c r="BJ110" s="12"/>
      <c r="BK110" s="12"/>
      <c r="BL110" s="12"/>
      <c r="BM110" s="12"/>
      <c r="BN110" s="13"/>
      <c r="BO110" s="13"/>
      <c r="BP110" s="13"/>
    </row>
    <row r="111" spans="1:68">
      <c r="A111" s="12"/>
      <c r="B111" s="13"/>
      <c r="C111" s="13"/>
      <c r="D111" s="13"/>
      <c r="E111" s="13"/>
      <c r="F111" s="13"/>
      <c r="G111" s="12"/>
      <c r="H111" s="12"/>
      <c r="I111" s="12"/>
      <c r="J111" s="12"/>
      <c r="K111" s="12"/>
      <c r="L111" s="13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3"/>
      <c r="AM111" s="13"/>
      <c r="AN111" s="13"/>
      <c r="AO111" s="12"/>
      <c r="AP111" s="12"/>
      <c r="AQ111" s="8"/>
      <c r="AR111" s="13"/>
      <c r="AS111" s="8"/>
      <c r="AT111" s="12"/>
      <c r="AU111" s="12"/>
      <c r="AV111" s="13"/>
      <c r="AW111" s="15"/>
      <c r="AX111" s="15"/>
      <c r="AY111" s="15"/>
      <c r="AZ111" s="15"/>
      <c r="BA111" s="15"/>
      <c r="BB111" s="12"/>
      <c r="BC111" s="12"/>
      <c r="BD111" s="12"/>
      <c r="BE111" s="12"/>
      <c r="BF111" s="12"/>
      <c r="BG111" s="16"/>
      <c r="BH111" s="12"/>
      <c r="BI111" s="12"/>
      <c r="BJ111" s="12"/>
      <c r="BK111" s="12"/>
      <c r="BL111" s="12"/>
      <c r="BM111" s="12"/>
      <c r="BN111" s="13"/>
      <c r="BO111" s="13"/>
      <c r="BP111" s="13"/>
    </row>
    <row r="112" spans="1:68">
      <c r="A112" s="12"/>
      <c r="B112" s="13"/>
      <c r="C112" s="13"/>
      <c r="D112" s="13"/>
      <c r="E112" s="13"/>
      <c r="F112" s="13"/>
      <c r="G112" s="12"/>
      <c r="H112" s="12"/>
      <c r="I112" s="12"/>
      <c r="J112" s="12"/>
      <c r="K112" s="12"/>
      <c r="L112" s="13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8"/>
      <c r="AR112" s="13"/>
      <c r="AS112" s="8"/>
      <c r="AT112" s="12"/>
      <c r="AU112" s="12"/>
      <c r="AV112" s="13"/>
      <c r="AW112" s="15"/>
      <c r="AX112" s="15"/>
      <c r="AY112" s="15"/>
      <c r="AZ112" s="15"/>
      <c r="BA112" s="15"/>
      <c r="BB112" s="12"/>
      <c r="BC112" s="12"/>
      <c r="BD112" s="12"/>
      <c r="BE112" s="12"/>
      <c r="BF112" s="12"/>
      <c r="BG112" s="16"/>
      <c r="BH112" s="12"/>
      <c r="BI112" s="12"/>
      <c r="BJ112" s="12"/>
      <c r="BK112" s="12"/>
      <c r="BL112" s="12"/>
      <c r="BM112" s="12"/>
      <c r="BN112" s="13"/>
      <c r="BO112" s="13"/>
      <c r="BP112" s="13"/>
    </row>
    <row r="113" spans="1:74">
      <c r="A113" s="12"/>
      <c r="B113" s="13"/>
      <c r="C113" s="13"/>
      <c r="D113" s="13"/>
      <c r="E113" s="13"/>
      <c r="F113" s="13"/>
      <c r="G113" s="12"/>
      <c r="H113" s="12"/>
      <c r="I113" s="12"/>
      <c r="J113" s="12"/>
      <c r="K113" s="12"/>
      <c r="L113" s="13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3"/>
      <c r="AR113" s="13"/>
      <c r="AS113" s="8"/>
      <c r="AT113" s="12"/>
      <c r="AU113" s="12"/>
      <c r="AV113" s="13"/>
      <c r="AW113" s="15"/>
      <c r="AX113" s="15"/>
      <c r="AY113" s="15"/>
      <c r="AZ113" s="15"/>
      <c r="BA113" s="15"/>
      <c r="BB113" s="12"/>
      <c r="BC113" s="12"/>
      <c r="BD113" s="12"/>
      <c r="BE113" s="12"/>
      <c r="BF113" s="12"/>
      <c r="BG113" s="16"/>
      <c r="BH113" s="12"/>
      <c r="BI113" s="12"/>
      <c r="BJ113" s="12"/>
      <c r="BK113" s="12"/>
      <c r="BL113" s="12"/>
      <c r="BM113" s="12"/>
      <c r="BN113" s="13"/>
      <c r="BO113" s="13"/>
      <c r="BP113" s="13"/>
    </row>
    <row r="114" spans="1:74">
      <c r="A114" s="12"/>
      <c r="B114" s="13"/>
      <c r="C114" s="13"/>
      <c r="D114" s="13"/>
      <c r="E114" s="13"/>
      <c r="F114" s="13"/>
      <c r="G114" s="12"/>
      <c r="H114" s="12"/>
      <c r="I114" s="12"/>
      <c r="J114" s="12"/>
      <c r="K114" s="12"/>
      <c r="L114" s="13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8"/>
      <c r="AR114" s="13"/>
      <c r="AS114" s="8"/>
      <c r="AT114" s="12"/>
      <c r="AU114" s="12"/>
      <c r="AV114" s="13"/>
      <c r="AW114" s="15"/>
      <c r="AX114" s="15"/>
      <c r="AY114" s="15"/>
      <c r="AZ114" s="15"/>
      <c r="BA114" s="15"/>
      <c r="BB114" s="12"/>
      <c r="BC114" s="12"/>
      <c r="BD114" s="12"/>
      <c r="BE114" s="12"/>
      <c r="BF114" s="12"/>
      <c r="BG114" s="16"/>
      <c r="BH114" s="12"/>
      <c r="BI114" s="12"/>
      <c r="BJ114" s="12"/>
      <c r="BK114" s="12"/>
      <c r="BL114" s="12"/>
      <c r="BM114" s="12"/>
      <c r="BN114" s="13"/>
      <c r="BO114" s="13"/>
      <c r="BP114" s="13"/>
    </row>
    <row r="115" spans="1:74">
      <c r="A115" s="12"/>
      <c r="B115" s="13"/>
      <c r="C115" s="13"/>
      <c r="D115" s="13"/>
      <c r="E115" s="13"/>
      <c r="F115" s="13"/>
      <c r="G115" s="12"/>
      <c r="H115" s="12"/>
      <c r="I115" s="12"/>
      <c r="J115" s="12"/>
      <c r="K115" s="12"/>
      <c r="L115" s="13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3"/>
      <c r="AR115" s="13"/>
      <c r="AS115" s="8"/>
      <c r="AT115" s="12"/>
      <c r="AU115" s="12"/>
      <c r="AV115" s="13"/>
      <c r="AW115" s="15"/>
      <c r="AX115" s="15"/>
      <c r="AY115" s="15"/>
      <c r="AZ115" s="15"/>
      <c r="BA115" s="15"/>
      <c r="BB115" s="12"/>
      <c r="BC115" s="12"/>
      <c r="BD115" s="12"/>
      <c r="BE115" s="12"/>
      <c r="BF115" s="12"/>
      <c r="BG115" s="16"/>
      <c r="BH115" s="12"/>
      <c r="BI115" s="12"/>
      <c r="BJ115" s="12"/>
      <c r="BK115" s="12"/>
      <c r="BL115" s="12"/>
      <c r="BM115" s="12"/>
      <c r="BN115" s="13"/>
      <c r="BO115" s="13"/>
      <c r="BP115" s="13"/>
    </row>
    <row r="116" spans="1:74">
      <c r="A116" s="12"/>
      <c r="B116" s="13"/>
      <c r="C116" s="13"/>
      <c r="D116" s="13"/>
      <c r="E116" s="13"/>
      <c r="F116" s="13"/>
      <c r="G116" s="12"/>
      <c r="H116" s="12"/>
      <c r="I116" s="12"/>
      <c r="J116" s="12"/>
      <c r="K116" s="12"/>
      <c r="L116" s="13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3"/>
      <c r="AR116" s="13"/>
      <c r="AS116" s="8"/>
      <c r="AT116" s="12"/>
      <c r="AU116" s="12"/>
      <c r="AV116" s="13"/>
      <c r="AW116" s="15"/>
      <c r="AX116" s="15"/>
      <c r="AY116" s="15"/>
      <c r="AZ116" s="15"/>
      <c r="BA116" s="15"/>
      <c r="BB116" s="12"/>
      <c r="BC116" s="12"/>
      <c r="BD116" s="12"/>
      <c r="BE116" s="12"/>
      <c r="BF116" s="12"/>
      <c r="BG116" s="16"/>
      <c r="BH116" s="12"/>
      <c r="BI116" s="12"/>
      <c r="BJ116" s="12"/>
      <c r="BK116" s="12"/>
      <c r="BL116" s="12"/>
      <c r="BM116" s="12"/>
      <c r="BN116" s="13"/>
      <c r="BO116" s="13"/>
      <c r="BP116" s="13"/>
    </row>
    <row r="117" spans="1:74">
      <c r="A117" s="12"/>
      <c r="B117" s="13"/>
      <c r="C117" s="13"/>
      <c r="D117" s="13"/>
      <c r="E117" s="13"/>
      <c r="F117" s="13"/>
      <c r="G117" s="12"/>
      <c r="H117" s="12"/>
      <c r="I117" s="12"/>
      <c r="J117" s="12"/>
      <c r="K117" s="12"/>
      <c r="L117" s="13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3"/>
      <c r="AR117" s="13"/>
      <c r="AS117" s="8"/>
      <c r="AT117" s="12"/>
      <c r="AU117" s="12"/>
      <c r="AV117" s="13"/>
      <c r="AW117" s="12"/>
      <c r="AX117" s="12"/>
      <c r="AY117" s="8"/>
      <c r="AZ117" s="13"/>
      <c r="BA117" s="8"/>
      <c r="BB117" s="12"/>
      <c r="BC117" s="12"/>
      <c r="BD117" s="12"/>
      <c r="BE117" s="12"/>
      <c r="BF117" s="12"/>
      <c r="BG117" s="16"/>
      <c r="BH117" s="12"/>
      <c r="BI117" s="12"/>
      <c r="BJ117" s="12"/>
      <c r="BK117" s="12"/>
      <c r="BL117" s="12"/>
      <c r="BM117" s="12"/>
      <c r="BN117" s="13"/>
      <c r="BO117" s="13"/>
      <c r="BP117" s="13"/>
    </row>
    <row r="118" spans="1:74">
      <c r="A118" s="12"/>
      <c r="B118" s="13"/>
      <c r="C118" s="13"/>
      <c r="D118" s="13"/>
      <c r="E118" s="13"/>
      <c r="F118" s="13"/>
      <c r="G118" s="12"/>
      <c r="H118" s="12"/>
      <c r="I118" s="12"/>
      <c r="J118" s="12"/>
      <c r="K118" s="12"/>
      <c r="L118" s="13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3"/>
      <c r="AM118" s="13"/>
      <c r="AN118" s="13"/>
      <c r="AO118" s="12"/>
      <c r="AP118" s="12"/>
      <c r="AQ118" s="13"/>
      <c r="AR118" s="13"/>
      <c r="AS118" s="13"/>
      <c r="AT118" s="12"/>
      <c r="AU118" s="12"/>
      <c r="AV118" s="13"/>
      <c r="AW118" s="15"/>
      <c r="AX118" s="15"/>
      <c r="AY118" s="15"/>
      <c r="AZ118" s="15"/>
      <c r="BA118" s="15"/>
      <c r="BB118" s="12"/>
      <c r="BC118" s="12"/>
      <c r="BD118" s="12"/>
      <c r="BE118" s="12"/>
      <c r="BF118" s="12"/>
      <c r="BG118" s="16"/>
      <c r="BH118" s="12"/>
      <c r="BI118" s="12"/>
      <c r="BJ118" s="12"/>
      <c r="BK118" s="12"/>
      <c r="BL118" s="12"/>
      <c r="BM118" s="12"/>
      <c r="BN118" s="13"/>
      <c r="BO118" s="13"/>
      <c r="BP118" s="13"/>
    </row>
    <row r="119" spans="1:74">
      <c r="A119" s="12"/>
      <c r="B119" s="13"/>
      <c r="C119" s="13"/>
      <c r="D119" s="13"/>
      <c r="E119" s="13"/>
      <c r="F119" s="13"/>
      <c r="G119" s="12"/>
      <c r="H119" s="12"/>
      <c r="I119" s="12"/>
      <c r="J119" s="12"/>
      <c r="K119" s="12"/>
      <c r="L119" s="13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3"/>
      <c r="AR119" s="13"/>
      <c r="AS119" s="13"/>
      <c r="AT119" s="12"/>
      <c r="AU119" s="12"/>
      <c r="AV119" s="13"/>
      <c r="AW119" s="15"/>
      <c r="AX119" s="15"/>
      <c r="AY119" s="15"/>
      <c r="AZ119" s="15"/>
      <c r="BA119" s="15"/>
      <c r="BB119" s="12"/>
      <c r="BC119" s="12"/>
      <c r="BD119" s="12"/>
      <c r="BE119" s="12"/>
      <c r="BF119" s="12"/>
      <c r="BG119" s="16"/>
      <c r="BH119" s="12"/>
      <c r="BI119" s="12"/>
      <c r="BJ119" s="12"/>
      <c r="BK119" s="12"/>
      <c r="BL119" s="12"/>
      <c r="BM119" s="12"/>
      <c r="BN119" s="13"/>
      <c r="BO119" s="13"/>
      <c r="BP119" s="13"/>
    </row>
    <row r="120" spans="1:74">
      <c r="A120" s="12"/>
      <c r="B120" s="13"/>
      <c r="C120" s="13"/>
      <c r="D120" s="13"/>
      <c r="E120" s="13"/>
      <c r="F120" s="13"/>
      <c r="G120" s="12"/>
      <c r="H120" s="12"/>
      <c r="I120" s="12"/>
      <c r="J120" s="12"/>
      <c r="K120" s="12"/>
      <c r="L120" s="13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8"/>
      <c r="AR120" s="13"/>
      <c r="AS120" s="8"/>
      <c r="AT120" s="12"/>
      <c r="AU120" s="12"/>
      <c r="AV120" s="13"/>
      <c r="AW120" s="15"/>
      <c r="AX120" s="15"/>
      <c r="AY120" s="15"/>
      <c r="AZ120" s="15"/>
      <c r="BA120" s="15"/>
      <c r="BB120" s="12"/>
      <c r="BC120" s="12"/>
      <c r="BD120" s="12"/>
      <c r="BE120" s="12"/>
      <c r="BF120" s="12"/>
      <c r="BG120" s="16"/>
      <c r="BH120" s="12"/>
      <c r="BI120" s="12"/>
      <c r="BJ120" s="12"/>
      <c r="BK120" s="12"/>
      <c r="BL120" s="12"/>
      <c r="BM120" s="12"/>
      <c r="BN120" s="13"/>
      <c r="BO120" s="13"/>
      <c r="BP120" s="13"/>
    </row>
    <row r="121" spans="1:74">
      <c r="A121" s="12"/>
      <c r="B121" s="13"/>
      <c r="C121" s="13"/>
      <c r="D121" s="13"/>
      <c r="E121" s="13"/>
      <c r="F121" s="13"/>
      <c r="G121" s="12"/>
      <c r="H121" s="12"/>
      <c r="I121" s="12"/>
      <c r="J121" s="12"/>
      <c r="K121" s="12"/>
      <c r="L121" s="13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8"/>
      <c r="AR121" s="13"/>
      <c r="AS121" s="8"/>
      <c r="AT121" s="12"/>
      <c r="AU121" s="12"/>
      <c r="AV121" s="13"/>
      <c r="AW121" s="15"/>
      <c r="AX121" s="15"/>
      <c r="AY121" s="15"/>
      <c r="AZ121" s="15"/>
      <c r="BA121" s="15"/>
      <c r="BB121" s="12"/>
      <c r="BC121" s="12"/>
      <c r="BD121" s="12"/>
      <c r="BE121" s="12"/>
      <c r="BF121" s="12"/>
      <c r="BG121" s="16"/>
      <c r="BH121" s="12"/>
      <c r="BI121" s="12"/>
      <c r="BJ121" s="12"/>
      <c r="BK121" s="12"/>
      <c r="BL121" s="12"/>
      <c r="BM121" s="12"/>
      <c r="BN121" s="13"/>
      <c r="BO121" s="13"/>
      <c r="BP121" s="13"/>
    </row>
    <row r="122" spans="1:74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2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</row>
    <row r="123" spans="1:74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2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</row>
    <row r="124" spans="1:7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2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</row>
    <row r="125" spans="1:74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2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</row>
    <row r="126" spans="1:74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2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</row>
    <row r="127" spans="1:74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2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</row>
    <row r="128" spans="1:74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2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</row>
    <row r="129" spans="1:74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2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</row>
    <row r="130" spans="1:74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2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</row>
    <row r="131" spans="1:74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2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</row>
    <row r="132" spans="1:74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2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</row>
    <row r="133" spans="1:74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2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</row>
    <row r="134" spans="1:7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2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</row>
    <row r="135" spans="1:74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2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</row>
    <row r="136" spans="1:74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2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</row>
    <row r="137" spans="1:74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2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</row>
    <row r="138" spans="1:74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2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</row>
    <row r="139" spans="1:74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2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</row>
    <row r="140" spans="1:74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2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</row>
    <row r="141" spans="1:74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2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</row>
    <row r="142" spans="1:74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2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</row>
    <row r="143" spans="1:74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2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</row>
    <row r="144" spans="1:7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1"/>
  <sheetViews>
    <sheetView workbookViewId="0">
      <pane ySplit="1" topLeftCell="A2" activePane="bottomLeft" state="frozen"/>
      <selection pane="bottomLeft" activeCell="A3" sqref="A3:XFD7"/>
    </sheetView>
  </sheetViews>
  <sheetFormatPr defaultRowHeight="14.4"/>
  <cols>
    <col min="1" max="1" width="9.33203125" customWidth="1"/>
    <col min="2" max="2" width="30.44140625" customWidth="1"/>
    <col min="3" max="3" width="12.5546875" customWidth="1"/>
    <col min="4" max="5" width="9.33203125" customWidth="1"/>
    <col min="6" max="6" width="15.33203125" customWidth="1"/>
    <col min="7" max="7" width="13.5546875" customWidth="1"/>
    <col min="8" max="8" width="21.33203125" customWidth="1"/>
    <col min="9" max="9" width="14" customWidth="1"/>
    <col min="10" max="10" width="20.6640625" customWidth="1"/>
    <col min="11" max="11" width="15.5546875" customWidth="1"/>
    <col min="12" max="12" width="10.5546875" customWidth="1"/>
    <col min="13" max="13" width="13.88671875" customWidth="1"/>
    <col min="14" max="14" width="27.33203125" customWidth="1"/>
    <col min="15" max="15" width="41" customWidth="1"/>
    <col min="16" max="16" width="20.109375" customWidth="1"/>
    <col min="17" max="18" width="42.109375" customWidth="1"/>
    <col min="19" max="24" width="13.5546875" customWidth="1"/>
  </cols>
  <sheetData>
    <row r="1" spans="1:18">
      <c r="A1" s="11" t="s">
        <v>0</v>
      </c>
      <c r="B1" s="11" t="s">
        <v>394</v>
      </c>
      <c r="C1" s="11" t="s">
        <v>395</v>
      </c>
      <c r="D1" s="11" t="s">
        <v>146</v>
      </c>
      <c r="E1" s="11" t="s">
        <v>396</v>
      </c>
      <c r="F1" s="11" t="s">
        <v>397</v>
      </c>
      <c r="G1" s="11" t="s">
        <v>398</v>
      </c>
      <c r="H1" s="11" t="s">
        <v>399</v>
      </c>
      <c r="I1" s="11" t="s">
        <v>400</v>
      </c>
      <c r="J1" s="11" t="s">
        <v>401</v>
      </c>
      <c r="K1" s="11" t="s">
        <v>402</v>
      </c>
      <c r="L1" s="11" t="s">
        <v>403</v>
      </c>
      <c r="M1" s="11" t="s">
        <v>404</v>
      </c>
      <c r="N1" s="11" t="s">
        <v>405</v>
      </c>
      <c r="O1" s="19" t="s">
        <v>406</v>
      </c>
      <c r="P1" s="11" t="s">
        <v>407</v>
      </c>
      <c r="Q1" s="11" t="s">
        <v>408</v>
      </c>
      <c r="R1" s="11" t="s">
        <v>409</v>
      </c>
    </row>
    <row r="2" spans="1:18">
      <c r="A2" s="11" t="s">
        <v>78</v>
      </c>
      <c r="B2" s="11" t="s">
        <v>410</v>
      </c>
      <c r="C2" s="8" t="s">
        <v>411</v>
      </c>
      <c r="D2" s="8" t="s">
        <v>79</v>
      </c>
      <c r="E2" s="8">
        <v>20608</v>
      </c>
      <c r="F2" s="11">
        <v>3</v>
      </c>
      <c r="G2" s="7">
        <v>991000</v>
      </c>
      <c r="H2" s="11" t="s">
        <v>412</v>
      </c>
      <c r="I2" s="11" t="s">
        <v>80</v>
      </c>
      <c r="J2" s="11" t="s">
        <v>81</v>
      </c>
      <c r="K2" s="11" t="s">
        <v>413</v>
      </c>
      <c r="L2" s="11"/>
      <c r="M2" s="11" t="s">
        <v>80</v>
      </c>
      <c r="N2" s="11" t="s">
        <v>80</v>
      </c>
      <c r="O2" s="7" t="s">
        <v>414</v>
      </c>
      <c r="P2" s="11" t="s">
        <v>81</v>
      </c>
      <c r="Q2" s="11"/>
      <c r="R2" s="11" t="s">
        <v>415</v>
      </c>
    </row>
    <row r="3" spans="1:18">
      <c r="A3" s="11" t="s">
        <v>116</v>
      </c>
      <c r="B3" s="11" t="s">
        <v>428</v>
      </c>
      <c r="C3" s="8" t="s">
        <v>141</v>
      </c>
      <c r="D3" s="7" t="s">
        <v>117</v>
      </c>
      <c r="E3" s="8">
        <v>19120</v>
      </c>
      <c r="F3" s="11">
        <v>7</v>
      </c>
      <c r="G3" s="7">
        <v>509000</v>
      </c>
      <c r="H3" s="11" t="s">
        <v>412</v>
      </c>
      <c r="I3" s="11" t="s">
        <v>80</v>
      </c>
      <c r="J3" s="11" t="s">
        <v>81</v>
      </c>
      <c r="K3" s="11" t="s">
        <v>422</v>
      </c>
      <c r="L3" s="11"/>
      <c r="M3" s="11" t="s">
        <v>80</v>
      </c>
      <c r="N3" s="11" t="s">
        <v>80</v>
      </c>
      <c r="O3" s="7" t="s">
        <v>429</v>
      </c>
      <c r="P3" s="11" t="s">
        <v>80</v>
      </c>
      <c r="Q3" s="11" t="s">
        <v>430</v>
      </c>
      <c r="R3" s="11" t="s">
        <v>431</v>
      </c>
    </row>
    <row r="4" spans="1:18">
      <c r="A4" s="11" t="s">
        <v>116</v>
      </c>
      <c r="B4" s="11" t="s">
        <v>432</v>
      </c>
      <c r="C4" s="8" t="s">
        <v>141</v>
      </c>
      <c r="D4" s="7" t="s">
        <v>117</v>
      </c>
      <c r="E4" s="8">
        <v>19121</v>
      </c>
      <c r="F4" s="11">
        <v>6</v>
      </c>
      <c r="G4" s="7">
        <v>260000</v>
      </c>
      <c r="H4" s="11" t="s">
        <v>433</v>
      </c>
      <c r="I4" s="11" t="s">
        <v>80</v>
      </c>
      <c r="J4" s="11" t="s">
        <v>81</v>
      </c>
      <c r="K4" s="59" t="s">
        <v>1630</v>
      </c>
      <c r="L4" s="11"/>
      <c r="M4" s="11" t="s">
        <v>80</v>
      </c>
      <c r="N4" s="11" t="s">
        <v>80</v>
      </c>
      <c r="O4" s="7" t="s">
        <v>417</v>
      </c>
      <c r="P4" s="11" t="s">
        <v>80</v>
      </c>
      <c r="Q4" s="11" t="s">
        <v>418</v>
      </c>
      <c r="R4" s="11" t="s">
        <v>434</v>
      </c>
    </row>
    <row r="5" spans="1:18">
      <c r="A5" s="11" t="s">
        <v>116</v>
      </c>
      <c r="B5" s="11" t="s">
        <v>435</v>
      </c>
      <c r="C5" s="8" t="s">
        <v>141</v>
      </c>
      <c r="D5" s="7" t="s">
        <v>117</v>
      </c>
      <c r="E5" s="8">
        <v>19115</v>
      </c>
      <c r="F5" s="11">
        <v>2</v>
      </c>
      <c r="G5" s="7">
        <v>881000</v>
      </c>
      <c r="H5" s="11" t="s">
        <v>420</v>
      </c>
      <c r="I5" s="11" t="s">
        <v>80</v>
      </c>
      <c r="J5" s="11" t="s">
        <v>80</v>
      </c>
      <c r="K5" s="59" t="s">
        <v>1630</v>
      </c>
      <c r="L5" s="11"/>
      <c r="M5" s="11" t="s">
        <v>81</v>
      </c>
      <c r="N5" s="11" t="s">
        <v>80</v>
      </c>
      <c r="O5" s="7" t="s">
        <v>423</v>
      </c>
      <c r="P5" s="11" t="s">
        <v>81</v>
      </c>
      <c r="Q5" s="11"/>
      <c r="R5" s="11" t="s">
        <v>436</v>
      </c>
    </row>
    <row r="6" spans="1:18">
      <c r="A6" s="11" t="s">
        <v>116</v>
      </c>
      <c r="B6" s="11" t="s">
        <v>437</v>
      </c>
      <c r="C6" s="8" t="s">
        <v>141</v>
      </c>
      <c r="D6" s="7" t="s">
        <v>117</v>
      </c>
      <c r="E6" s="8">
        <v>19116</v>
      </c>
      <c r="F6" s="11">
        <v>7</v>
      </c>
      <c r="G6" s="7">
        <v>970000</v>
      </c>
      <c r="H6" s="11" t="s">
        <v>412</v>
      </c>
      <c r="I6" s="11" t="s">
        <v>80</v>
      </c>
      <c r="J6" s="11" t="s">
        <v>80</v>
      </c>
      <c r="K6" s="59" t="s">
        <v>1631</v>
      </c>
      <c r="L6" s="11"/>
      <c r="M6" s="11" t="s">
        <v>80</v>
      </c>
      <c r="N6" s="11" t="s">
        <v>80</v>
      </c>
      <c r="O6" s="7" t="s">
        <v>417</v>
      </c>
      <c r="P6" s="11" t="s">
        <v>80</v>
      </c>
      <c r="Q6" s="11" t="s">
        <v>438</v>
      </c>
      <c r="R6" s="11" t="s">
        <v>439</v>
      </c>
    </row>
    <row r="7" spans="1:18">
      <c r="A7" s="11" t="s">
        <v>116</v>
      </c>
      <c r="B7" s="11" t="s">
        <v>440</v>
      </c>
      <c r="C7" s="8" t="s">
        <v>141</v>
      </c>
      <c r="D7" s="7" t="s">
        <v>117</v>
      </c>
      <c r="E7" s="8">
        <v>19118</v>
      </c>
      <c r="F7" s="11">
        <v>3</v>
      </c>
      <c r="G7" s="7">
        <v>567000</v>
      </c>
      <c r="H7" s="11" t="s">
        <v>416</v>
      </c>
      <c r="I7" s="11" t="s">
        <v>80</v>
      </c>
      <c r="J7" s="11" t="s">
        <v>81</v>
      </c>
      <c r="K7" s="59" t="s">
        <v>1631</v>
      </c>
      <c r="L7" s="11"/>
      <c r="M7" s="11" t="s">
        <v>81</v>
      </c>
      <c r="N7" s="11" t="s">
        <v>80</v>
      </c>
      <c r="O7" s="7" t="s">
        <v>429</v>
      </c>
      <c r="P7" s="11" t="s">
        <v>80</v>
      </c>
      <c r="Q7" s="11" t="s">
        <v>418</v>
      </c>
      <c r="R7" s="11" t="s">
        <v>441</v>
      </c>
    </row>
    <row r="8" spans="1:18">
      <c r="A8" s="11" t="s">
        <v>151</v>
      </c>
      <c r="B8" s="11" t="s">
        <v>442</v>
      </c>
      <c r="C8" s="20" t="s">
        <v>443</v>
      </c>
      <c r="D8" s="20" t="s">
        <v>152</v>
      </c>
      <c r="E8" s="20">
        <v>20008</v>
      </c>
      <c r="F8" s="11">
        <v>6</v>
      </c>
      <c r="G8" s="7">
        <v>333000</v>
      </c>
      <c r="H8" s="11" t="s">
        <v>420</v>
      </c>
      <c r="I8" s="11" t="s">
        <v>80</v>
      </c>
      <c r="J8" s="11" t="s">
        <v>81</v>
      </c>
      <c r="K8" s="59" t="s">
        <v>1631</v>
      </c>
      <c r="L8" s="11"/>
      <c r="M8" s="11" t="s">
        <v>80</v>
      </c>
      <c r="N8" s="11" t="s">
        <v>80</v>
      </c>
      <c r="O8" s="7" t="s">
        <v>425</v>
      </c>
      <c r="P8" s="11" t="s">
        <v>81</v>
      </c>
      <c r="Q8" s="11" t="s">
        <v>444</v>
      </c>
      <c r="R8" s="11" t="s">
        <v>445</v>
      </c>
    </row>
    <row r="9" spans="1:18">
      <c r="A9" s="11" t="s">
        <v>151</v>
      </c>
      <c r="B9" s="11" t="s">
        <v>446</v>
      </c>
      <c r="C9" s="20" t="s">
        <v>173</v>
      </c>
      <c r="D9" s="20" t="s">
        <v>152</v>
      </c>
      <c r="E9" s="20">
        <v>20009</v>
      </c>
      <c r="F9" s="11">
        <v>7</v>
      </c>
      <c r="G9" s="7">
        <v>980000</v>
      </c>
      <c r="H9" s="11" t="s">
        <v>416</v>
      </c>
      <c r="I9" s="11" t="s">
        <v>81</v>
      </c>
      <c r="J9" s="11" t="s">
        <v>81</v>
      </c>
      <c r="K9" s="59" t="s">
        <v>1631</v>
      </c>
      <c r="L9" s="11"/>
      <c r="M9" s="11" t="s">
        <v>81</v>
      </c>
      <c r="N9" s="11" t="s">
        <v>80</v>
      </c>
      <c r="O9" s="7" t="s">
        <v>423</v>
      </c>
      <c r="P9" s="11" t="s">
        <v>80</v>
      </c>
      <c r="Q9" s="11" t="s">
        <v>418</v>
      </c>
      <c r="R9" s="11" t="s">
        <v>447</v>
      </c>
    </row>
    <row r="10" spans="1:18">
      <c r="A10" s="11" t="s">
        <v>151</v>
      </c>
      <c r="B10" s="11" t="s">
        <v>440</v>
      </c>
      <c r="C10" s="20" t="s">
        <v>173</v>
      </c>
      <c r="D10" s="20" t="s">
        <v>152</v>
      </c>
      <c r="E10" s="20">
        <v>20010</v>
      </c>
      <c r="F10" s="11">
        <v>8</v>
      </c>
      <c r="G10" s="7">
        <v>130000</v>
      </c>
      <c r="H10" s="11" t="s">
        <v>433</v>
      </c>
      <c r="I10" s="11" t="s">
        <v>80</v>
      </c>
      <c r="J10" s="11" t="s">
        <v>81</v>
      </c>
      <c r="K10" s="11" t="s">
        <v>413</v>
      </c>
      <c r="L10" s="11"/>
      <c r="M10" s="11" t="s">
        <v>80</v>
      </c>
      <c r="N10" s="11" t="s">
        <v>80</v>
      </c>
      <c r="O10" s="7" t="s">
        <v>429</v>
      </c>
      <c r="P10" s="11" t="s">
        <v>80</v>
      </c>
      <c r="Q10" s="11" t="s">
        <v>418</v>
      </c>
      <c r="R10" s="11" t="s">
        <v>441</v>
      </c>
    </row>
    <row r="11" spans="1:18">
      <c r="A11" s="11" t="s">
        <v>151</v>
      </c>
      <c r="B11" s="11" t="s">
        <v>442</v>
      </c>
      <c r="C11" s="20" t="s">
        <v>173</v>
      </c>
      <c r="D11" s="20" t="s">
        <v>152</v>
      </c>
      <c r="E11" s="20">
        <v>20011</v>
      </c>
      <c r="F11" s="11">
        <v>9</v>
      </c>
      <c r="G11" s="7">
        <v>161000</v>
      </c>
      <c r="H11" s="11" t="s">
        <v>433</v>
      </c>
      <c r="I11" s="11" t="s">
        <v>81</v>
      </c>
      <c r="J11" s="11" t="s">
        <v>81</v>
      </c>
      <c r="K11" s="11" t="s">
        <v>413</v>
      </c>
      <c r="L11" s="11"/>
      <c r="M11" s="11" t="s">
        <v>80</v>
      </c>
      <c r="N11" s="11" t="s">
        <v>80</v>
      </c>
      <c r="O11" s="7" t="s">
        <v>414</v>
      </c>
      <c r="P11" s="11" t="s">
        <v>81</v>
      </c>
      <c r="Q11" s="11" t="s">
        <v>444</v>
      </c>
      <c r="R11" s="11" t="s">
        <v>445</v>
      </c>
    </row>
    <row r="12" spans="1:18">
      <c r="A12" s="11" t="s">
        <v>188</v>
      </c>
      <c r="B12" s="11" t="s">
        <v>446</v>
      </c>
      <c r="C12" s="8" t="s">
        <v>141</v>
      </c>
      <c r="D12" s="7" t="s">
        <v>117</v>
      </c>
      <c r="E12" s="20">
        <v>19107</v>
      </c>
      <c r="F12" s="11">
        <v>6</v>
      </c>
      <c r="G12" s="7">
        <v>370000</v>
      </c>
      <c r="H12" s="11" t="s">
        <v>433</v>
      </c>
      <c r="I12" s="11" t="s">
        <v>81</v>
      </c>
      <c r="J12" s="11" t="s">
        <v>81</v>
      </c>
      <c r="K12" s="59" t="s">
        <v>1631</v>
      </c>
      <c r="L12" s="11"/>
      <c r="M12" s="11" t="s">
        <v>81</v>
      </c>
      <c r="N12" s="11" t="s">
        <v>80</v>
      </c>
      <c r="O12" s="7" t="s">
        <v>414</v>
      </c>
      <c r="P12" s="11" t="s">
        <v>81</v>
      </c>
      <c r="Q12" s="11"/>
      <c r="R12" s="11" t="s">
        <v>447</v>
      </c>
    </row>
    <row r="13" spans="1:18">
      <c r="A13" s="11" t="s">
        <v>188</v>
      </c>
      <c r="B13" s="11" t="s">
        <v>448</v>
      </c>
      <c r="C13" s="8" t="s">
        <v>141</v>
      </c>
      <c r="D13" s="7" t="s">
        <v>117</v>
      </c>
      <c r="E13" s="20">
        <v>19108</v>
      </c>
      <c r="F13" s="11">
        <v>5</v>
      </c>
      <c r="G13" s="7">
        <v>470000</v>
      </c>
      <c r="H13" s="11" t="s">
        <v>416</v>
      </c>
      <c r="I13" s="11" t="s">
        <v>80</v>
      </c>
      <c r="J13" s="11" t="s">
        <v>81</v>
      </c>
      <c r="K13" s="11" t="s">
        <v>422</v>
      </c>
      <c r="L13" s="11"/>
      <c r="M13" s="11" t="s">
        <v>81</v>
      </c>
      <c r="N13" s="11" t="s">
        <v>80</v>
      </c>
      <c r="O13" s="7" t="s">
        <v>417</v>
      </c>
      <c r="P13" s="11" t="s">
        <v>80</v>
      </c>
      <c r="Q13" s="11" t="s">
        <v>418</v>
      </c>
      <c r="R13" s="11" t="s">
        <v>449</v>
      </c>
    </row>
    <row r="14" spans="1:18">
      <c r="A14" s="11" t="s">
        <v>188</v>
      </c>
      <c r="B14" s="11" t="s">
        <v>446</v>
      </c>
      <c r="C14" s="8" t="s">
        <v>141</v>
      </c>
      <c r="D14" s="7" t="s">
        <v>117</v>
      </c>
      <c r="E14" s="20">
        <v>19109</v>
      </c>
      <c r="F14" s="11">
        <v>7</v>
      </c>
      <c r="G14" s="7">
        <v>442000</v>
      </c>
      <c r="H14" s="11" t="s">
        <v>416</v>
      </c>
      <c r="I14" s="11" t="s">
        <v>81</v>
      </c>
      <c r="J14" s="11" t="s">
        <v>81</v>
      </c>
      <c r="K14" s="59" t="s">
        <v>1630</v>
      </c>
      <c r="L14" s="11"/>
      <c r="M14" s="11" t="s">
        <v>80</v>
      </c>
      <c r="N14" s="11" t="s">
        <v>80</v>
      </c>
      <c r="O14" s="7" t="s">
        <v>423</v>
      </c>
      <c r="P14" s="11" t="s">
        <v>81</v>
      </c>
      <c r="Q14" s="11"/>
      <c r="R14" s="11" t="s">
        <v>447</v>
      </c>
    </row>
    <row r="15" spans="1:18">
      <c r="A15" s="11" t="s">
        <v>217</v>
      </c>
      <c r="B15" s="11" t="s">
        <v>448</v>
      </c>
      <c r="C15" s="20" t="s">
        <v>450</v>
      </c>
      <c r="D15" s="20" t="s">
        <v>245</v>
      </c>
      <c r="E15" s="20">
        <v>27109</v>
      </c>
      <c r="F15" s="11">
        <v>3</v>
      </c>
      <c r="G15" s="7">
        <v>356000</v>
      </c>
      <c r="H15" s="11" t="s">
        <v>412</v>
      </c>
      <c r="I15" s="11" t="s">
        <v>81</v>
      </c>
      <c r="J15" s="11" t="s">
        <v>81</v>
      </c>
      <c r="K15" s="11" t="s">
        <v>413</v>
      </c>
      <c r="L15" s="11"/>
      <c r="M15" s="11" t="s">
        <v>80</v>
      </c>
      <c r="N15" s="11" t="s">
        <v>80</v>
      </c>
      <c r="O15" s="7" t="s">
        <v>423</v>
      </c>
      <c r="P15" s="11" t="s">
        <v>80</v>
      </c>
      <c r="Q15" s="11" t="s">
        <v>418</v>
      </c>
      <c r="R15" s="11" t="s">
        <v>449</v>
      </c>
    </row>
    <row r="16" spans="1:18">
      <c r="A16" s="11" t="s">
        <v>217</v>
      </c>
      <c r="B16" s="11" t="s">
        <v>448</v>
      </c>
      <c r="C16" s="20" t="s">
        <v>450</v>
      </c>
      <c r="D16" s="20" t="s">
        <v>245</v>
      </c>
      <c r="E16" s="20">
        <v>27110</v>
      </c>
      <c r="F16" s="11">
        <v>10</v>
      </c>
      <c r="G16" s="7">
        <v>978000</v>
      </c>
      <c r="H16" s="11" t="s">
        <v>433</v>
      </c>
      <c r="I16" s="11" t="s">
        <v>80</v>
      </c>
      <c r="J16" s="11" t="s">
        <v>80</v>
      </c>
      <c r="K16" s="58" t="s">
        <v>422</v>
      </c>
      <c r="L16" s="11"/>
      <c r="M16" s="11" t="s">
        <v>81</v>
      </c>
      <c r="N16" s="11" t="s">
        <v>80</v>
      </c>
      <c r="O16" s="7" t="s">
        <v>425</v>
      </c>
      <c r="P16" s="11" t="s">
        <v>80</v>
      </c>
      <c r="Q16" s="11" t="s">
        <v>418</v>
      </c>
      <c r="R16" s="11" t="s">
        <v>449</v>
      </c>
    </row>
    <row r="17" spans="1:18">
      <c r="A17" s="11" t="s">
        <v>217</v>
      </c>
      <c r="B17" s="11" t="s">
        <v>451</v>
      </c>
      <c r="C17" s="20" t="s">
        <v>450</v>
      </c>
      <c r="D17" s="20" t="s">
        <v>245</v>
      </c>
      <c r="E17" s="20">
        <v>27111</v>
      </c>
      <c r="F17" s="11">
        <v>3</v>
      </c>
      <c r="G17" s="7">
        <v>684000</v>
      </c>
      <c r="H17" s="11" t="s">
        <v>433</v>
      </c>
      <c r="I17" s="11" t="s">
        <v>80</v>
      </c>
      <c r="J17" s="11" t="s">
        <v>81</v>
      </c>
      <c r="K17" s="11" t="s">
        <v>413</v>
      </c>
      <c r="L17" s="11"/>
      <c r="M17" s="11" t="s">
        <v>80</v>
      </c>
      <c r="N17" s="11" t="s">
        <v>80</v>
      </c>
      <c r="O17" s="7" t="s">
        <v>423</v>
      </c>
      <c r="P17" s="11" t="s">
        <v>81</v>
      </c>
      <c r="Q17" s="11"/>
      <c r="R17" s="11" t="s">
        <v>452</v>
      </c>
    </row>
    <row r="18" spans="1:18">
      <c r="A18" s="11" t="s">
        <v>217</v>
      </c>
      <c r="B18" s="11" t="s">
        <v>453</v>
      </c>
      <c r="C18" s="20" t="s">
        <v>450</v>
      </c>
      <c r="D18" s="20" t="s">
        <v>245</v>
      </c>
      <c r="E18" s="20">
        <v>27113</v>
      </c>
      <c r="F18" s="11">
        <v>8</v>
      </c>
      <c r="G18" s="7">
        <v>73000</v>
      </c>
      <c r="H18" s="11" t="s">
        <v>416</v>
      </c>
      <c r="I18" s="11" t="s">
        <v>80</v>
      </c>
      <c r="J18" s="11" t="s">
        <v>81</v>
      </c>
      <c r="K18" s="59" t="s">
        <v>1631</v>
      </c>
      <c r="L18" s="11"/>
      <c r="M18" s="11" t="s">
        <v>80</v>
      </c>
      <c r="N18" s="11" t="s">
        <v>80</v>
      </c>
      <c r="O18" s="7" t="s">
        <v>417</v>
      </c>
      <c r="P18" s="11" t="s">
        <v>81</v>
      </c>
      <c r="Q18" s="11"/>
      <c r="R18" s="11" t="s">
        <v>454</v>
      </c>
    </row>
    <row r="19" spans="1:18">
      <c r="A19" s="11" t="s">
        <v>217</v>
      </c>
      <c r="B19" s="11" t="s">
        <v>455</v>
      </c>
      <c r="C19" s="20" t="s">
        <v>450</v>
      </c>
      <c r="D19" s="20" t="s">
        <v>245</v>
      </c>
      <c r="E19" s="20">
        <v>27114</v>
      </c>
      <c r="F19" s="11">
        <v>7</v>
      </c>
      <c r="G19" s="7">
        <v>434000</v>
      </c>
      <c r="H19" s="11" t="s">
        <v>433</v>
      </c>
      <c r="I19" s="11" t="s">
        <v>81</v>
      </c>
      <c r="J19" s="11" t="s">
        <v>80</v>
      </c>
      <c r="K19" s="59" t="s">
        <v>1631</v>
      </c>
      <c r="L19" s="11"/>
      <c r="M19" s="11" t="s">
        <v>81</v>
      </c>
      <c r="N19" s="11" t="s">
        <v>80</v>
      </c>
      <c r="O19" s="7" t="s">
        <v>429</v>
      </c>
      <c r="P19" s="11" t="s">
        <v>81</v>
      </c>
      <c r="Q19" s="11"/>
      <c r="R19" s="11" t="s">
        <v>456</v>
      </c>
    </row>
    <row r="20" spans="1:18">
      <c r="A20" s="11" t="s">
        <v>217</v>
      </c>
      <c r="B20" s="11" t="s">
        <v>457</v>
      </c>
      <c r="C20" s="20" t="s">
        <v>450</v>
      </c>
      <c r="D20" s="20" t="s">
        <v>245</v>
      </c>
      <c r="E20" s="20">
        <v>27127</v>
      </c>
      <c r="F20" s="11">
        <v>1</v>
      </c>
      <c r="G20" s="7">
        <v>149000</v>
      </c>
      <c r="H20" s="11" t="s">
        <v>412</v>
      </c>
      <c r="I20" s="11" t="s">
        <v>80</v>
      </c>
      <c r="J20" s="11" t="s">
        <v>81</v>
      </c>
      <c r="K20" s="11" t="s">
        <v>422</v>
      </c>
      <c r="L20" s="11"/>
      <c r="M20" s="11" t="s">
        <v>80</v>
      </c>
      <c r="N20" s="11" t="s">
        <v>80</v>
      </c>
      <c r="O20" s="7" t="s">
        <v>417</v>
      </c>
      <c r="P20" s="11" t="s">
        <v>81</v>
      </c>
      <c r="Q20" s="11" t="s">
        <v>458</v>
      </c>
      <c r="R20" s="11" t="s">
        <v>459</v>
      </c>
    </row>
    <row r="21" spans="1:18">
      <c r="A21" s="11" t="s">
        <v>251</v>
      </c>
      <c r="B21" s="11" t="s">
        <v>453</v>
      </c>
      <c r="C21" s="7" t="s">
        <v>460</v>
      </c>
      <c r="D21" s="7" t="s">
        <v>241</v>
      </c>
      <c r="E21" s="7">
        <v>26505</v>
      </c>
      <c r="F21" s="11">
        <v>8</v>
      </c>
      <c r="G21" s="7">
        <v>73000</v>
      </c>
      <c r="H21" s="11" t="s">
        <v>416</v>
      </c>
      <c r="I21" s="11" t="s">
        <v>80</v>
      </c>
      <c r="J21" s="11" t="s">
        <v>81</v>
      </c>
      <c r="K21" s="59" t="s">
        <v>1631</v>
      </c>
      <c r="L21" s="11"/>
      <c r="M21" s="11" t="s">
        <v>80</v>
      </c>
      <c r="N21" s="11" t="s">
        <v>80</v>
      </c>
      <c r="O21" s="7" t="s">
        <v>417</v>
      </c>
      <c r="P21" s="11" t="s">
        <v>81</v>
      </c>
      <c r="Q21" s="11"/>
      <c r="R21" s="11" t="s">
        <v>454</v>
      </c>
    </row>
    <row r="22" spans="1:18">
      <c r="A22" s="11" t="s">
        <v>251</v>
      </c>
      <c r="B22" s="11" t="s">
        <v>455</v>
      </c>
      <c r="C22" s="8" t="s">
        <v>461</v>
      </c>
      <c r="D22" s="7" t="s">
        <v>241</v>
      </c>
      <c r="E22" s="8">
        <v>22469</v>
      </c>
      <c r="F22" s="11">
        <v>7</v>
      </c>
      <c r="G22" s="7">
        <v>434000</v>
      </c>
      <c r="H22" s="11" t="s">
        <v>433</v>
      </c>
      <c r="I22" s="11" t="s">
        <v>81</v>
      </c>
      <c r="J22" s="11" t="s">
        <v>80</v>
      </c>
      <c r="K22" s="59" t="s">
        <v>1631</v>
      </c>
      <c r="L22" s="11"/>
      <c r="M22" s="11" t="s">
        <v>81</v>
      </c>
      <c r="N22" s="11" t="s">
        <v>80</v>
      </c>
      <c r="O22" s="7" t="s">
        <v>429</v>
      </c>
      <c r="P22" s="11" t="s">
        <v>81</v>
      </c>
      <c r="Q22" s="11"/>
      <c r="R22" s="11" t="s">
        <v>456</v>
      </c>
    </row>
    <row r="23" spans="1:18">
      <c r="A23" s="11" t="s">
        <v>251</v>
      </c>
      <c r="B23" s="11" t="s">
        <v>457</v>
      </c>
      <c r="C23" s="8" t="s">
        <v>450</v>
      </c>
      <c r="D23" s="7" t="s">
        <v>241</v>
      </c>
      <c r="E23" s="8">
        <v>27115</v>
      </c>
      <c r="F23" s="11">
        <v>1</v>
      </c>
      <c r="G23" s="7">
        <v>149000</v>
      </c>
      <c r="H23" s="11" t="s">
        <v>412</v>
      </c>
      <c r="I23" s="11" t="s">
        <v>80</v>
      </c>
      <c r="J23" s="11" t="s">
        <v>81</v>
      </c>
      <c r="K23" s="11" t="s">
        <v>422</v>
      </c>
      <c r="L23" s="11"/>
      <c r="M23" s="11" t="s">
        <v>80</v>
      </c>
      <c r="N23" s="11" t="s">
        <v>80</v>
      </c>
      <c r="O23" s="7" t="s">
        <v>417</v>
      </c>
      <c r="P23" s="11" t="s">
        <v>81</v>
      </c>
      <c r="Q23" s="11" t="s">
        <v>458</v>
      </c>
      <c r="R23" s="11" t="s">
        <v>459</v>
      </c>
    </row>
    <row r="24" spans="1:18">
      <c r="A24" s="11" t="s">
        <v>251</v>
      </c>
      <c r="B24" s="11" t="s">
        <v>457</v>
      </c>
      <c r="C24" s="8" t="s">
        <v>462</v>
      </c>
      <c r="D24" s="7" t="s">
        <v>241</v>
      </c>
      <c r="E24" s="8">
        <v>22402</v>
      </c>
      <c r="F24" s="11">
        <v>6</v>
      </c>
      <c r="G24" s="7">
        <v>626000</v>
      </c>
      <c r="H24" s="11" t="s">
        <v>420</v>
      </c>
      <c r="I24" s="11" t="s">
        <v>80</v>
      </c>
      <c r="J24" s="11" t="s">
        <v>80</v>
      </c>
      <c r="K24" s="11" t="s">
        <v>422</v>
      </c>
      <c r="L24" s="11"/>
      <c r="M24" s="11" t="s">
        <v>81</v>
      </c>
      <c r="N24" s="11" t="s">
        <v>80</v>
      </c>
      <c r="O24" s="7" t="s">
        <v>423</v>
      </c>
      <c r="P24" s="11" t="s">
        <v>80</v>
      </c>
      <c r="Q24" s="11" t="s">
        <v>458</v>
      </c>
      <c r="R24" s="11" t="s">
        <v>459</v>
      </c>
    </row>
    <row r="25" spans="1:18">
      <c r="A25" s="11" t="s">
        <v>251</v>
      </c>
      <c r="B25" s="11" t="s">
        <v>463</v>
      </c>
      <c r="C25" s="8" t="s">
        <v>141</v>
      </c>
      <c r="D25" s="7" t="s">
        <v>241</v>
      </c>
      <c r="E25" s="8">
        <v>19151</v>
      </c>
      <c r="F25" s="11">
        <v>6</v>
      </c>
      <c r="G25" s="7">
        <v>459000</v>
      </c>
      <c r="H25" s="11" t="s">
        <v>412</v>
      </c>
      <c r="I25" s="11" t="s">
        <v>80</v>
      </c>
      <c r="J25" s="11" t="s">
        <v>80</v>
      </c>
      <c r="K25" s="58" t="s">
        <v>422</v>
      </c>
      <c r="L25" s="11"/>
      <c r="M25" s="11" t="s">
        <v>81</v>
      </c>
      <c r="N25" s="11" t="s">
        <v>80</v>
      </c>
      <c r="O25" s="7" t="s">
        <v>414</v>
      </c>
      <c r="P25" s="11" t="s">
        <v>80</v>
      </c>
      <c r="Q25" s="11" t="s">
        <v>464</v>
      </c>
      <c r="R25" s="11" t="s">
        <v>465</v>
      </c>
    </row>
    <row r="26" spans="1:18">
      <c r="A26" s="11" t="s">
        <v>251</v>
      </c>
      <c r="B26" s="11" t="s">
        <v>466</v>
      </c>
      <c r="C26" s="7" t="s">
        <v>240</v>
      </c>
      <c r="D26" s="7" t="s">
        <v>241</v>
      </c>
      <c r="E26" s="7">
        <v>25242</v>
      </c>
      <c r="F26" s="11">
        <v>9</v>
      </c>
      <c r="G26" s="7">
        <v>877000</v>
      </c>
      <c r="H26" s="11" t="s">
        <v>420</v>
      </c>
      <c r="I26" s="11" t="s">
        <v>80</v>
      </c>
      <c r="J26" s="11" t="s">
        <v>81</v>
      </c>
      <c r="K26" s="59" t="s">
        <v>1630</v>
      </c>
      <c r="L26" s="11"/>
      <c r="M26" s="11" t="s">
        <v>80</v>
      </c>
      <c r="N26" s="11" t="s">
        <v>80</v>
      </c>
      <c r="O26" s="7" t="s">
        <v>423</v>
      </c>
      <c r="P26" s="11" t="s">
        <v>80</v>
      </c>
      <c r="Q26" s="11" t="s">
        <v>418</v>
      </c>
      <c r="R26" s="11" t="s">
        <v>467</v>
      </c>
    </row>
    <row r="27" spans="1:18">
      <c r="A27" s="11" t="s">
        <v>280</v>
      </c>
      <c r="B27" s="11" t="s">
        <v>463</v>
      </c>
      <c r="C27" s="20" t="s">
        <v>468</v>
      </c>
      <c r="D27" s="7" t="s">
        <v>281</v>
      </c>
      <c r="E27" s="20">
        <v>20105</v>
      </c>
      <c r="F27" s="11">
        <v>3</v>
      </c>
      <c r="G27" s="7">
        <v>287000</v>
      </c>
      <c r="H27" s="11" t="s">
        <v>433</v>
      </c>
      <c r="I27" s="11" t="s">
        <v>81</v>
      </c>
      <c r="J27" s="11" t="s">
        <v>81</v>
      </c>
      <c r="K27" s="11" t="s">
        <v>413</v>
      </c>
      <c r="L27" s="11"/>
      <c r="M27" s="11" t="s">
        <v>80</v>
      </c>
      <c r="N27" s="11" t="s">
        <v>80</v>
      </c>
      <c r="O27" s="7" t="s">
        <v>425</v>
      </c>
      <c r="P27" s="11" t="s">
        <v>80</v>
      </c>
      <c r="Q27" s="11" t="s">
        <v>464</v>
      </c>
      <c r="R27" s="11" t="s">
        <v>465</v>
      </c>
    </row>
    <row r="28" spans="1:18">
      <c r="A28" s="11" t="s">
        <v>280</v>
      </c>
      <c r="B28" s="11" t="s">
        <v>466</v>
      </c>
      <c r="C28" s="20" t="s">
        <v>469</v>
      </c>
      <c r="D28" s="7" t="s">
        <v>281</v>
      </c>
      <c r="E28" s="20">
        <v>20106</v>
      </c>
      <c r="F28" s="11">
        <v>2</v>
      </c>
      <c r="G28" s="7">
        <v>806000</v>
      </c>
      <c r="H28" s="11" t="s">
        <v>420</v>
      </c>
      <c r="I28" s="11" t="s">
        <v>80</v>
      </c>
      <c r="J28" s="11" t="s">
        <v>81</v>
      </c>
      <c r="K28" s="11" t="s">
        <v>422</v>
      </c>
      <c r="L28" s="11"/>
      <c r="M28" s="11" t="s">
        <v>81</v>
      </c>
      <c r="N28" s="11" t="s">
        <v>80</v>
      </c>
      <c r="O28" s="7" t="s">
        <v>414</v>
      </c>
      <c r="P28" s="11" t="s">
        <v>80</v>
      </c>
      <c r="Q28" s="11" t="s">
        <v>418</v>
      </c>
      <c r="R28" s="11" t="s">
        <v>467</v>
      </c>
    </row>
    <row r="29" spans="1:18">
      <c r="A29" s="11" t="s">
        <v>280</v>
      </c>
      <c r="B29" s="11" t="s">
        <v>470</v>
      </c>
      <c r="C29" s="20" t="s">
        <v>471</v>
      </c>
      <c r="D29" s="7" t="s">
        <v>281</v>
      </c>
      <c r="E29" s="20">
        <v>20107</v>
      </c>
      <c r="F29" s="11">
        <v>1</v>
      </c>
      <c r="G29" s="7">
        <v>572000</v>
      </c>
      <c r="H29" s="11" t="s">
        <v>433</v>
      </c>
      <c r="I29" s="11" t="s">
        <v>80</v>
      </c>
      <c r="J29" s="11" t="s">
        <v>80</v>
      </c>
      <c r="K29" s="59" t="s">
        <v>1631</v>
      </c>
      <c r="L29" s="11"/>
      <c r="M29" s="11" t="s">
        <v>80</v>
      </c>
      <c r="N29" s="11" t="s">
        <v>80</v>
      </c>
      <c r="O29" s="7" t="s">
        <v>414</v>
      </c>
      <c r="P29" s="11" t="s">
        <v>80</v>
      </c>
      <c r="Q29" s="11" t="s">
        <v>472</v>
      </c>
      <c r="R29" s="11" t="s">
        <v>473</v>
      </c>
    </row>
    <row r="30" spans="1:18">
      <c r="A30" s="11" t="s">
        <v>280</v>
      </c>
      <c r="B30" s="11" t="s">
        <v>474</v>
      </c>
      <c r="C30" s="20" t="s">
        <v>475</v>
      </c>
      <c r="D30" s="7" t="s">
        <v>281</v>
      </c>
      <c r="E30" s="20">
        <v>20108</v>
      </c>
      <c r="F30" s="11">
        <v>4</v>
      </c>
      <c r="G30" s="7">
        <v>556000</v>
      </c>
      <c r="H30" s="11" t="s">
        <v>412</v>
      </c>
      <c r="I30" s="11" t="s">
        <v>80</v>
      </c>
      <c r="J30" s="11" t="s">
        <v>80</v>
      </c>
      <c r="K30" s="11" t="s">
        <v>422</v>
      </c>
      <c r="L30" s="11"/>
      <c r="M30" s="11" t="s">
        <v>80</v>
      </c>
      <c r="N30" s="11" t="s">
        <v>80</v>
      </c>
      <c r="O30" s="7" t="s">
        <v>425</v>
      </c>
      <c r="P30" s="11" t="s">
        <v>81</v>
      </c>
      <c r="Q30" s="11" t="s">
        <v>476</v>
      </c>
      <c r="R30" s="11" t="s">
        <v>477</v>
      </c>
    </row>
    <row r="31" spans="1:18">
      <c r="A31" s="11" t="s">
        <v>280</v>
      </c>
      <c r="B31" s="11" t="s">
        <v>478</v>
      </c>
      <c r="C31" s="20" t="s">
        <v>475</v>
      </c>
      <c r="D31" s="7" t="s">
        <v>281</v>
      </c>
      <c r="E31" s="20">
        <v>20109</v>
      </c>
      <c r="F31" s="11">
        <v>1</v>
      </c>
      <c r="G31" s="7">
        <v>907000</v>
      </c>
      <c r="H31" s="11" t="s">
        <v>420</v>
      </c>
      <c r="I31" s="11" t="s">
        <v>80</v>
      </c>
      <c r="J31" s="11" t="s">
        <v>80</v>
      </c>
      <c r="K31" s="11" t="s">
        <v>413</v>
      </c>
      <c r="L31" s="11"/>
      <c r="M31" s="11" t="s">
        <v>80</v>
      </c>
      <c r="N31" s="11" t="s">
        <v>80</v>
      </c>
      <c r="O31" s="7" t="s">
        <v>417</v>
      </c>
      <c r="P31" s="11" t="s">
        <v>80</v>
      </c>
      <c r="Q31" s="11" t="s">
        <v>418</v>
      </c>
      <c r="R31" s="11" t="s">
        <v>479</v>
      </c>
    </row>
    <row r="32" spans="1:18" ht="14.25" customHeight="1">
      <c r="A32" s="11" t="s">
        <v>280</v>
      </c>
      <c r="B32" s="11" t="s">
        <v>480</v>
      </c>
      <c r="C32" s="20" t="s">
        <v>475</v>
      </c>
      <c r="D32" s="7" t="s">
        <v>281</v>
      </c>
      <c r="E32" s="20">
        <v>20110</v>
      </c>
      <c r="F32" s="11">
        <v>6</v>
      </c>
      <c r="G32" s="7">
        <v>89000</v>
      </c>
      <c r="H32" s="11" t="s">
        <v>420</v>
      </c>
      <c r="I32" s="11" t="s">
        <v>81</v>
      </c>
      <c r="J32" s="11" t="s">
        <v>81</v>
      </c>
      <c r="K32" s="58" t="s">
        <v>422</v>
      </c>
      <c r="L32" s="11"/>
      <c r="M32" s="11" t="s">
        <v>81</v>
      </c>
      <c r="N32" s="11" t="s">
        <v>80</v>
      </c>
      <c r="O32" s="7" t="s">
        <v>425</v>
      </c>
      <c r="P32" s="11" t="s">
        <v>80</v>
      </c>
      <c r="Q32" s="11" t="s">
        <v>418</v>
      </c>
      <c r="R32" s="11" t="s">
        <v>481</v>
      </c>
    </row>
    <row r="33" spans="1:18">
      <c r="A33" s="11" t="s">
        <v>309</v>
      </c>
      <c r="B33" s="11" t="s">
        <v>470</v>
      </c>
      <c r="C33" s="20" t="s">
        <v>482</v>
      </c>
      <c r="D33" s="8" t="s">
        <v>310</v>
      </c>
      <c r="E33" s="20">
        <v>19707</v>
      </c>
      <c r="F33" s="11">
        <v>9</v>
      </c>
      <c r="G33" s="7">
        <v>751000</v>
      </c>
      <c r="H33" s="11" t="s">
        <v>412</v>
      </c>
      <c r="I33" s="11" t="s">
        <v>81</v>
      </c>
      <c r="J33" s="11" t="s">
        <v>81</v>
      </c>
      <c r="K33" s="11" t="s">
        <v>413</v>
      </c>
      <c r="L33" s="11"/>
      <c r="M33" s="11" t="s">
        <v>81</v>
      </c>
      <c r="N33" s="11" t="s">
        <v>80</v>
      </c>
      <c r="O33" s="7" t="s">
        <v>423</v>
      </c>
      <c r="P33" s="11" t="s">
        <v>80</v>
      </c>
      <c r="Q33" s="11" t="s">
        <v>472</v>
      </c>
      <c r="R33" s="11" t="s">
        <v>473</v>
      </c>
    </row>
    <row r="34" spans="1:18">
      <c r="A34" s="11" t="s">
        <v>309</v>
      </c>
      <c r="B34" s="11" t="s">
        <v>474</v>
      </c>
      <c r="C34" s="20" t="s">
        <v>483</v>
      </c>
      <c r="D34" s="8" t="s">
        <v>310</v>
      </c>
      <c r="E34" s="20">
        <v>19708</v>
      </c>
      <c r="F34" s="11">
        <v>5</v>
      </c>
      <c r="G34" s="7">
        <v>396000</v>
      </c>
      <c r="H34" s="11" t="s">
        <v>420</v>
      </c>
      <c r="I34" s="11" t="s">
        <v>80</v>
      </c>
      <c r="J34" s="11" t="s">
        <v>80</v>
      </c>
      <c r="K34" s="59" t="s">
        <v>1630</v>
      </c>
      <c r="L34" s="11"/>
      <c r="M34" s="11" t="s">
        <v>80</v>
      </c>
      <c r="N34" s="11" t="s">
        <v>80</v>
      </c>
      <c r="O34" s="7" t="s">
        <v>423</v>
      </c>
      <c r="P34" s="11" t="s">
        <v>81</v>
      </c>
      <c r="Q34" s="11" t="s">
        <v>476</v>
      </c>
      <c r="R34" s="11" t="s">
        <v>477</v>
      </c>
    </row>
    <row r="35" spans="1:18">
      <c r="A35" s="11" t="s">
        <v>309</v>
      </c>
      <c r="B35" s="11" t="s">
        <v>478</v>
      </c>
      <c r="C35" s="20" t="s">
        <v>484</v>
      </c>
      <c r="D35" s="8" t="s">
        <v>310</v>
      </c>
      <c r="E35" s="20">
        <v>19709</v>
      </c>
      <c r="F35" s="11">
        <v>5</v>
      </c>
      <c r="G35" s="7">
        <v>784000</v>
      </c>
      <c r="H35" s="11" t="s">
        <v>416</v>
      </c>
      <c r="I35" s="11" t="s">
        <v>81</v>
      </c>
      <c r="J35" s="11" t="s">
        <v>81</v>
      </c>
      <c r="K35" s="59" t="s">
        <v>1631</v>
      </c>
      <c r="L35" s="11"/>
      <c r="M35" s="11" t="s">
        <v>80</v>
      </c>
      <c r="N35" s="11" t="s">
        <v>80</v>
      </c>
      <c r="O35" s="7" t="s">
        <v>417</v>
      </c>
      <c r="P35" s="11" t="s">
        <v>80</v>
      </c>
      <c r="Q35" s="11" t="s">
        <v>418</v>
      </c>
      <c r="R35" s="11" t="s">
        <v>479</v>
      </c>
    </row>
    <row r="36" spans="1:18">
      <c r="A36" s="11" t="s">
        <v>309</v>
      </c>
      <c r="B36" s="11" t="s">
        <v>480</v>
      </c>
      <c r="C36" s="20" t="s">
        <v>485</v>
      </c>
      <c r="D36" s="8" t="s">
        <v>310</v>
      </c>
      <c r="E36" s="20">
        <v>19710</v>
      </c>
      <c r="F36" s="11">
        <v>1</v>
      </c>
      <c r="G36" s="7">
        <v>736000</v>
      </c>
      <c r="H36" s="11" t="s">
        <v>420</v>
      </c>
      <c r="I36" s="11" t="s">
        <v>81</v>
      </c>
      <c r="J36" s="11" t="s">
        <v>80</v>
      </c>
      <c r="K36" s="59" t="s">
        <v>1630</v>
      </c>
      <c r="L36" s="11"/>
      <c r="M36" s="11" t="s">
        <v>80</v>
      </c>
      <c r="N36" s="11" t="s">
        <v>80</v>
      </c>
      <c r="O36" s="7" t="s">
        <v>425</v>
      </c>
      <c r="P36" s="11" t="s">
        <v>81</v>
      </c>
      <c r="Q36" s="11"/>
      <c r="R36" s="11" t="s">
        <v>481</v>
      </c>
    </row>
    <row r="37" spans="1:18">
      <c r="A37" s="11" t="s">
        <v>309</v>
      </c>
      <c r="B37" s="11" t="s">
        <v>486</v>
      </c>
      <c r="C37" s="20" t="s">
        <v>487</v>
      </c>
      <c r="D37" s="8" t="s">
        <v>310</v>
      </c>
      <c r="E37" s="20">
        <v>19711</v>
      </c>
      <c r="F37" s="11">
        <v>3</v>
      </c>
      <c r="G37" s="7">
        <v>460000</v>
      </c>
      <c r="H37" s="11" t="s">
        <v>433</v>
      </c>
      <c r="I37" s="11" t="s">
        <v>80</v>
      </c>
      <c r="J37" s="11" t="s">
        <v>81</v>
      </c>
      <c r="K37" s="11" t="s">
        <v>413</v>
      </c>
      <c r="L37" s="11"/>
      <c r="M37" s="11" t="s">
        <v>81</v>
      </c>
      <c r="N37" s="11" t="s">
        <v>80</v>
      </c>
      <c r="O37" s="7" t="s">
        <v>414</v>
      </c>
      <c r="P37" s="11" t="s">
        <v>81</v>
      </c>
      <c r="Q37" s="11" t="s">
        <v>488</v>
      </c>
      <c r="R37" s="11" t="s">
        <v>489</v>
      </c>
    </row>
    <row r="38" spans="1:18">
      <c r="A38" s="11" t="s">
        <v>339</v>
      </c>
      <c r="B38" s="11" t="s">
        <v>490</v>
      </c>
      <c r="C38" s="20" t="s">
        <v>491</v>
      </c>
      <c r="D38" s="7" t="s">
        <v>79</v>
      </c>
      <c r="E38" s="20">
        <v>20616</v>
      </c>
      <c r="F38" s="11">
        <v>8</v>
      </c>
      <c r="G38" s="7">
        <v>665000</v>
      </c>
      <c r="H38" s="11" t="s">
        <v>416</v>
      </c>
      <c r="I38" s="11" t="s">
        <v>81</v>
      </c>
      <c r="J38" s="11" t="s">
        <v>81</v>
      </c>
      <c r="K38" s="59" t="s">
        <v>1631</v>
      </c>
      <c r="L38" s="11"/>
      <c r="M38" s="11" t="s">
        <v>81</v>
      </c>
      <c r="N38" s="11" t="s">
        <v>80</v>
      </c>
      <c r="O38" s="7" t="s">
        <v>417</v>
      </c>
      <c r="P38" s="11" t="s">
        <v>81</v>
      </c>
      <c r="Q38" s="11" t="s">
        <v>492</v>
      </c>
      <c r="R38" s="11" t="s">
        <v>493</v>
      </c>
    </row>
    <row r="39" spans="1:18">
      <c r="A39" s="11" t="s">
        <v>339</v>
      </c>
      <c r="B39" s="11" t="s">
        <v>490</v>
      </c>
      <c r="C39" s="20" t="s">
        <v>494</v>
      </c>
      <c r="D39" s="7" t="s">
        <v>79</v>
      </c>
      <c r="E39" s="20">
        <v>20617</v>
      </c>
      <c r="F39" s="11">
        <v>8</v>
      </c>
      <c r="G39" s="7">
        <v>341000</v>
      </c>
      <c r="H39" s="11" t="s">
        <v>420</v>
      </c>
      <c r="I39" s="11" t="s">
        <v>80</v>
      </c>
      <c r="J39" s="11" t="s">
        <v>80</v>
      </c>
      <c r="K39" s="58" t="s">
        <v>422</v>
      </c>
      <c r="L39" s="11"/>
      <c r="M39" s="11" t="s">
        <v>80</v>
      </c>
      <c r="N39" s="11" t="s">
        <v>80</v>
      </c>
      <c r="O39" s="7" t="s">
        <v>425</v>
      </c>
      <c r="P39" s="11" t="s">
        <v>81</v>
      </c>
      <c r="Q39" s="11" t="s">
        <v>492</v>
      </c>
      <c r="R39" s="11" t="s">
        <v>493</v>
      </c>
    </row>
    <row r="40" spans="1:18">
      <c r="A40" s="11" t="s">
        <v>369</v>
      </c>
      <c r="B40" s="11" t="s">
        <v>495</v>
      </c>
      <c r="C40" s="7" t="s">
        <v>460</v>
      </c>
      <c r="D40" s="7" t="s">
        <v>241</v>
      </c>
      <c r="E40" s="7">
        <v>26505</v>
      </c>
      <c r="F40" s="11">
        <v>2</v>
      </c>
      <c r="G40" s="7">
        <v>734000</v>
      </c>
      <c r="H40" s="11" t="s">
        <v>412</v>
      </c>
      <c r="I40" s="11" t="s">
        <v>80</v>
      </c>
      <c r="J40" s="11" t="s">
        <v>80</v>
      </c>
      <c r="K40" s="59" t="s">
        <v>1631</v>
      </c>
      <c r="L40" s="11"/>
      <c r="M40" s="11" t="s">
        <v>80</v>
      </c>
      <c r="N40" s="11" t="s">
        <v>80</v>
      </c>
      <c r="O40" s="7" t="s">
        <v>425</v>
      </c>
      <c r="P40" s="11" t="s">
        <v>80</v>
      </c>
      <c r="Q40" s="11" t="s">
        <v>418</v>
      </c>
      <c r="R40" s="11" t="s">
        <v>496</v>
      </c>
    </row>
    <row r="41" spans="1:18">
      <c r="A41" s="11" t="s">
        <v>369</v>
      </c>
      <c r="B41" s="11" t="s">
        <v>497</v>
      </c>
      <c r="C41" s="8" t="s">
        <v>461</v>
      </c>
      <c r="D41" s="7" t="s">
        <v>241</v>
      </c>
      <c r="E41" s="8">
        <v>22469</v>
      </c>
      <c r="F41" s="11">
        <v>4</v>
      </c>
      <c r="G41" s="7">
        <v>116000</v>
      </c>
      <c r="H41" s="11" t="s">
        <v>420</v>
      </c>
      <c r="I41" s="11" t="s">
        <v>80</v>
      </c>
      <c r="J41" s="11" t="s">
        <v>80</v>
      </c>
      <c r="K41" s="59" t="s">
        <v>1630</v>
      </c>
      <c r="L41" s="11"/>
      <c r="M41" s="11" t="s">
        <v>80</v>
      </c>
      <c r="N41" s="11" t="s">
        <v>80</v>
      </c>
      <c r="O41" s="7" t="s">
        <v>423</v>
      </c>
      <c r="P41" s="11" t="s">
        <v>81</v>
      </c>
      <c r="Q41" s="11"/>
      <c r="R41" s="11" t="s">
        <v>498</v>
      </c>
    </row>
    <row r="42" spans="1:18">
      <c r="A42" s="17"/>
      <c r="B42" s="17"/>
      <c r="C42" s="17"/>
      <c r="D42" s="17"/>
      <c r="E42" s="17"/>
      <c r="F42" s="17"/>
      <c r="G42" s="13"/>
      <c r="H42" s="17"/>
      <c r="I42" s="17"/>
      <c r="J42" s="17"/>
      <c r="K42" s="17"/>
      <c r="L42" s="17"/>
      <c r="M42" s="17"/>
      <c r="N42" s="17"/>
      <c r="O42" s="21"/>
    </row>
    <row r="43" spans="1:18">
      <c r="A43" s="17"/>
      <c r="B43" s="17"/>
      <c r="C43" s="17"/>
      <c r="D43" s="17"/>
      <c r="E43" s="17"/>
      <c r="F43" s="17"/>
      <c r="G43" s="13"/>
      <c r="H43" s="17"/>
      <c r="I43" s="17"/>
      <c r="J43" s="17"/>
      <c r="K43" s="11" t="s">
        <v>499</v>
      </c>
      <c r="L43" s="17"/>
      <c r="M43" s="17"/>
      <c r="N43" s="17"/>
      <c r="O43" s="21"/>
    </row>
    <row r="44" spans="1:18">
      <c r="A44" s="17"/>
      <c r="B44" s="17"/>
      <c r="C44" s="17"/>
      <c r="D44" s="17"/>
      <c r="E44" s="17"/>
      <c r="F44" s="17"/>
      <c r="G44" s="13"/>
      <c r="H44" s="17"/>
      <c r="I44" s="17"/>
      <c r="J44" s="17"/>
      <c r="K44" s="11" t="s">
        <v>500</v>
      </c>
      <c r="L44" s="17"/>
      <c r="M44" s="17"/>
      <c r="N44" s="17"/>
      <c r="O44" s="21"/>
    </row>
    <row r="45" spans="1:18">
      <c r="A45" s="17"/>
      <c r="B45" s="17"/>
      <c r="C45" s="17"/>
      <c r="D45" s="17"/>
      <c r="E45" s="17"/>
      <c r="F45" s="17"/>
      <c r="G45" s="13"/>
      <c r="H45" s="17"/>
      <c r="I45" s="17"/>
      <c r="J45" s="17"/>
      <c r="K45" s="11" t="s">
        <v>501</v>
      </c>
      <c r="L45" s="17"/>
      <c r="M45" s="17"/>
      <c r="N45" s="17"/>
      <c r="O45" s="21"/>
    </row>
    <row r="46" spans="1:18">
      <c r="A46" s="17"/>
      <c r="B46" s="17"/>
      <c r="C46" s="17"/>
      <c r="D46" s="17"/>
      <c r="E46" s="17"/>
      <c r="F46" s="17"/>
      <c r="G46" s="13"/>
      <c r="H46" s="17"/>
      <c r="I46" s="17"/>
      <c r="J46" s="17"/>
      <c r="K46" s="17"/>
      <c r="L46" s="17"/>
      <c r="M46" s="17"/>
      <c r="N46" s="17"/>
      <c r="O46" s="21"/>
    </row>
    <row r="47" spans="1:18">
      <c r="A47" s="17"/>
      <c r="B47" s="17"/>
      <c r="C47" s="17"/>
      <c r="D47" s="17"/>
      <c r="E47" s="17"/>
      <c r="F47" s="17"/>
      <c r="G47" s="13"/>
      <c r="H47" s="17"/>
      <c r="I47" s="17"/>
      <c r="J47" s="17"/>
      <c r="K47" s="17"/>
      <c r="L47" s="17"/>
      <c r="M47" s="17"/>
      <c r="N47" s="17"/>
      <c r="O47" s="21"/>
    </row>
    <row r="48" spans="1:18">
      <c r="A48" s="17"/>
      <c r="B48" s="17"/>
      <c r="C48" s="17"/>
      <c r="D48" s="17"/>
      <c r="E48" s="17"/>
      <c r="F48" s="17"/>
      <c r="G48" s="13"/>
      <c r="H48" s="17"/>
      <c r="I48" s="17"/>
      <c r="J48" s="17"/>
      <c r="K48" s="17"/>
      <c r="L48" s="17"/>
      <c r="M48" s="17"/>
      <c r="N48" s="17"/>
      <c r="O48" s="21"/>
    </row>
    <row r="49" spans="1:15">
      <c r="A49" s="17"/>
      <c r="B49" s="17"/>
      <c r="C49" s="17"/>
      <c r="D49" s="17"/>
      <c r="E49" s="17"/>
      <c r="F49" s="17"/>
      <c r="G49" s="13"/>
      <c r="H49" s="17"/>
      <c r="I49" s="17"/>
      <c r="J49" s="17"/>
      <c r="K49" s="17"/>
      <c r="L49" s="17"/>
      <c r="M49" s="17"/>
      <c r="N49" s="17"/>
      <c r="O49" s="21"/>
    </row>
    <row r="50" spans="1:15">
      <c r="A50" s="17"/>
      <c r="B50" s="17"/>
      <c r="C50" s="17"/>
      <c r="D50" s="17"/>
      <c r="E50" s="17"/>
      <c r="F50" s="17"/>
      <c r="G50" s="13"/>
      <c r="H50" s="17"/>
      <c r="I50" s="17"/>
      <c r="J50" s="17"/>
      <c r="K50" s="17"/>
      <c r="L50" s="17"/>
      <c r="M50" s="17"/>
      <c r="N50" s="17"/>
      <c r="O50" s="21"/>
    </row>
    <row r="51" spans="1:15">
      <c r="A51" s="17"/>
      <c r="B51" s="17"/>
      <c r="C51" s="17"/>
      <c r="D51" s="17"/>
      <c r="E51" s="17"/>
      <c r="F51" s="17"/>
      <c r="G51" s="13"/>
      <c r="H51" s="17"/>
      <c r="I51" s="17"/>
      <c r="J51" s="17"/>
      <c r="K51" s="17"/>
      <c r="L51" s="17"/>
      <c r="M51" s="17"/>
      <c r="N51" s="17"/>
      <c r="O51" s="21"/>
    </row>
    <row r="52" spans="1:15">
      <c r="A52" s="17"/>
      <c r="B52" s="17"/>
      <c r="C52" s="17"/>
      <c r="D52" s="17"/>
      <c r="E52" s="17"/>
      <c r="F52" s="17"/>
      <c r="G52" s="13"/>
      <c r="H52" s="17"/>
      <c r="I52" s="17"/>
      <c r="J52" s="17"/>
      <c r="K52" s="17"/>
      <c r="L52" s="17"/>
      <c r="M52" s="17"/>
      <c r="N52" s="17"/>
      <c r="O52" s="21"/>
    </row>
    <row r="53" spans="1:15">
      <c r="A53" s="17"/>
      <c r="B53" s="17"/>
      <c r="C53" s="17"/>
      <c r="D53" s="17"/>
      <c r="E53" s="17"/>
      <c r="F53" s="17"/>
      <c r="G53" s="13"/>
      <c r="H53" s="17"/>
      <c r="I53" s="17"/>
      <c r="J53" s="17"/>
      <c r="K53" s="17"/>
      <c r="L53" s="17"/>
      <c r="M53" s="17"/>
      <c r="N53" s="17"/>
      <c r="O53" s="21"/>
    </row>
    <row r="54" spans="1:15">
      <c r="A54" s="17"/>
      <c r="B54" s="17"/>
      <c r="C54" s="17"/>
      <c r="D54" s="17"/>
      <c r="E54" s="17"/>
      <c r="F54" s="17"/>
      <c r="G54" s="13"/>
      <c r="H54" s="17"/>
      <c r="I54" s="17"/>
      <c r="J54" s="17"/>
      <c r="K54" s="17"/>
      <c r="L54" s="17"/>
      <c r="M54" s="17"/>
      <c r="N54" s="17"/>
      <c r="O54" s="21"/>
    </row>
    <row r="55" spans="1:15">
      <c r="A55" s="17"/>
      <c r="B55" s="17"/>
      <c r="C55" s="17"/>
      <c r="D55" s="17"/>
      <c r="E55" s="17"/>
      <c r="F55" s="17"/>
      <c r="G55" s="13"/>
      <c r="H55" s="17"/>
      <c r="I55" s="17"/>
      <c r="J55" s="17"/>
      <c r="K55" s="17"/>
      <c r="L55" s="17"/>
      <c r="M55" s="17"/>
      <c r="N55" s="17"/>
      <c r="O55" s="21"/>
    </row>
    <row r="56" spans="1:1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21"/>
    </row>
    <row r="57" spans="1:1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21"/>
    </row>
    <row r="58" spans="1:1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21"/>
    </row>
    <row r="59" spans="1:1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21"/>
    </row>
    <row r="60" spans="1:1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21"/>
    </row>
    <row r="61" spans="1:1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21"/>
    </row>
    <row r="62" spans="1:1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21"/>
    </row>
    <row r="63" spans="1:1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21"/>
    </row>
    <row r="64" spans="1:1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21"/>
    </row>
    <row r="65" spans="1:1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21"/>
    </row>
    <row r="66" spans="1:1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21"/>
    </row>
    <row r="67" spans="1:1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21"/>
    </row>
    <row r="68" spans="1:1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21"/>
    </row>
    <row r="69" spans="1:1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21"/>
    </row>
    <row r="70" spans="1:1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21"/>
    </row>
    <row r="71" spans="1:1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21"/>
    </row>
    <row r="72" spans="1:1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21"/>
    </row>
    <row r="73" spans="1:1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21"/>
    </row>
    <row r="74" spans="1:1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21"/>
    </row>
    <row r="75" spans="1:1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21"/>
    </row>
    <row r="76" spans="1:1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21"/>
    </row>
    <row r="77" spans="1:1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21"/>
    </row>
    <row r="78" spans="1:1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21"/>
    </row>
    <row r="79" spans="1:1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21"/>
    </row>
    <row r="80" spans="1:1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21"/>
    </row>
    <row r="81" spans="1:1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21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87"/>
  <sheetViews>
    <sheetView workbookViewId="0">
      <pane xSplit="1" topLeftCell="B1" activePane="topRight" state="frozen"/>
      <selection pane="topRight" activeCell="A3" sqref="A3:XFD7"/>
    </sheetView>
  </sheetViews>
  <sheetFormatPr defaultRowHeight="14.4"/>
  <cols>
    <col min="1" max="1" width="9.44140625" customWidth="1"/>
    <col min="2" max="2" width="30.44140625" customWidth="1"/>
    <col min="3" max="3" width="9.33203125" customWidth="1"/>
    <col min="4" max="4" width="11" customWidth="1"/>
    <col min="5" max="5" width="17.88671875" customWidth="1"/>
    <col min="6" max="6" width="9.44140625" customWidth="1"/>
    <col min="7" max="7" width="9.33203125" customWidth="1"/>
    <col min="8" max="8" width="11.88671875" customWidth="1"/>
    <col min="9" max="9" width="25" customWidth="1"/>
    <col min="10" max="10" width="25.44140625" customWidth="1"/>
    <col min="11" max="11" width="27.88671875" customWidth="1"/>
    <col min="12" max="12" width="18.88671875" customWidth="1"/>
    <col min="13" max="13" width="18.33203125" customWidth="1"/>
    <col min="14" max="14" width="22.6640625" customWidth="1"/>
    <col min="15" max="15" width="14.109375" customWidth="1"/>
    <col min="16" max="16" width="12.88671875" customWidth="1"/>
    <col min="17" max="17" width="14.109375" customWidth="1"/>
    <col min="18" max="18" width="17" customWidth="1"/>
    <col min="19" max="19" width="9.33203125" customWidth="1"/>
    <col min="20" max="20" width="28.44140625" customWidth="1"/>
    <col min="21" max="21" width="21" customWidth="1"/>
    <col min="22" max="22" width="29.88671875" customWidth="1"/>
    <col min="23" max="23" width="14.109375" customWidth="1"/>
    <col min="24" max="24" width="18.109375" customWidth="1"/>
    <col min="25" max="25" width="14.88671875" customWidth="1"/>
    <col min="26" max="26" width="11.5546875" customWidth="1"/>
    <col min="27" max="27" width="11.44140625" customWidth="1"/>
    <col min="28" max="28" width="12.109375" customWidth="1"/>
    <col min="29" max="29" width="16.5546875" customWidth="1"/>
    <col min="30" max="30" width="20.109375" customWidth="1"/>
    <col min="31" max="31" width="24.109375" customWidth="1"/>
    <col min="32" max="32" width="24.44140625" customWidth="1"/>
    <col min="33" max="33" width="21" customWidth="1"/>
    <col min="34" max="34" width="30.33203125" customWidth="1"/>
    <col min="35" max="35" width="23.44140625" customWidth="1"/>
    <col min="36" max="36" width="34.109375" customWidth="1"/>
    <col min="37" max="37" width="32.6640625" customWidth="1"/>
    <col min="38" max="38" width="21.33203125" customWidth="1"/>
  </cols>
  <sheetData>
    <row r="1" spans="1:38" ht="14.25" customHeight="1">
      <c r="A1" s="11" t="s">
        <v>0</v>
      </c>
      <c r="B1" s="22" t="s">
        <v>502</v>
      </c>
      <c r="C1" s="11" t="s">
        <v>503</v>
      </c>
      <c r="D1" s="11" t="s">
        <v>504</v>
      </c>
      <c r="E1" s="11" t="s">
        <v>505</v>
      </c>
      <c r="F1" s="11" t="s">
        <v>506</v>
      </c>
      <c r="G1" s="11" t="s">
        <v>507</v>
      </c>
      <c r="H1" s="11" t="s">
        <v>508</v>
      </c>
      <c r="I1" s="11" t="s">
        <v>509</v>
      </c>
      <c r="J1" s="11" t="s">
        <v>510</v>
      </c>
      <c r="K1" s="11" t="s">
        <v>511</v>
      </c>
      <c r="L1" s="11" t="s">
        <v>512</v>
      </c>
      <c r="M1" s="11" t="s">
        <v>513</v>
      </c>
      <c r="N1" s="11" t="s">
        <v>514</v>
      </c>
      <c r="O1" s="11" t="s">
        <v>515</v>
      </c>
      <c r="P1" s="11" t="s">
        <v>516</v>
      </c>
      <c r="Q1" s="11" t="s">
        <v>517</v>
      </c>
      <c r="R1" s="22" t="s">
        <v>518</v>
      </c>
      <c r="S1" s="11" t="s">
        <v>519</v>
      </c>
      <c r="T1" s="11" t="s">
        <v>520</v>
      </c>
      <c r="U1" s="11" t="s">
        <v>521</v>
      </c>
      <c r="V1" s="11" t="s">
        <v>522</v>
      </c>
      <c r="W1" s="11" t="s">
        <v>523</v>
      </c>
      <c r="X1" s="11" t="s">
        <v>524</v>
      </c>
      <c r="Y1" s="11" t="s">
        <v>525</v>
      </c>
      <c r="Z1" s="11" t="s">
        <v>526</v>
      </c>
      <c r="AA1" s="11" t="s">
        <v>527</v>
      </c>
      <c r="AB1" s="11" t="s">
        <v>528</v>
      </c>
      <c r="AC1" s="11" t="s">
        <v>529</v>
      </c>
      <c r="AD1" s="11" t="s">
        <v>530</v>
      </c>
      <c r="AE1" s="11" t="s">
        <v>531</v>
      </c>
      <c r="AF1" s="11" t="s">
        <v>532</v>
      </c>
      <c r="AG1" s="11" t="s">
        <v>533</v>
      </c>
      <c r="AH1" s="11" t="s">
        <v>534</v>
      </c>
      <c r="AI1" s="11" t="s">
        <v>535</v>
      </c>
      <c r="AJ1" s="11" t="s">
        <v>536</v>
      </c>
      <c r="AK1" s="11" t="s">
        <v>537</v>
      </c>
      <c r="AL1" s="11" t="s">
        <v>538</v>
      </c>
    </row>
    <row r="2" spans="1:38" ht="14.25" customHeight="1">
      <c r="A2" s="11" t="s">
        <v>78</v>
      </c>
      <c r="B2" s="11" t="s">
        <v>410</v>
      </c>
      <c r="C2" s="11">
        <v>1</v>
      </c>
      <c r="D2" s="8">
        <v>20608</v>
      </c>
      <c r="E2" s="11" t="s">
        <v>539</v>
      </c>
      <c r="F2" s="11">
        <v>5</v>
      </c>
      <c r="G2" s="11">
        <v>10200</v>
      </c>
      <c r="H2" s="11">
        <v>2005</v>
      </c>
      <c r="I2" s="11" t="s">
        <v>540</v>
      </c>
      <c r="J2" s="11" t="s">
        <v>81</v>
      </c>
      <c r="K2" s="11" t="s">
        <v>541</v>
      </c>
      <c r="L2" s="11" t="s">
        <v>542</v>
      </c>
      <c r="M2" s="11" t="s">
        <v>80</v>
      </c>
      <c r="N2" s="11" t="s">
        <v>543</v>
      </c>
      <c r="O2" s="11" t="s">
        <v>544</v>
      </c>
      <c r="P2" s="11" t="s">
        <v>545</v>
      </c>
      <c r="Q2" s="11"/>
      <c r="R2" s="11" t="s">
        <v>81</v>
      </c>
      <c r="S2" s="11" t="s">
        <v>81</v>
      </c>
      <c r="T2" s="11" t="s">
        <v>80</v>
      </c>
      <c r="U2" s="11" t="s">
        <v>80</v>
      </c>
      <c r="V2" s="11"/>
      <c r="W2" s="11"/>
      <c r="X2" s="11"/>
      <c r="Y2" s="11">
        <v>80</v>
      </c>
      <c r="Z2" s="11" t="s">
        <v>546</v>
      </c>
      <c r="AA2" s="11" t="s">
        <v>547</v>
      </c>
      <c r="AB2" s="11" t="s">
        <v>80</v>
      </c>
      <c r="AC2" s="11" t="s">
        <v>80</v>
      </c>
      <c r="AD2" s="11">
        <v>2021</v>
      </c>
      <c r="AE2" s="11">
        <v>2019</v>
      </c>
      <c r="AF2" s="11">
        <v>2018</v>
      </c>
      <c r="AG2" s="11">
        <v>2020</v>
      </c>
      <c r="AH2" s="11"/>
      <c r="AI2" s="11"/>
      <c r="AJ2" s="11"/>
      <c r="AK2" s="11"/>
      <c r="AL2" s="11"/>
    </row>
    <row r="3" spans="1:38" ht="14.25" customHeight="1">
      <c r="A3" s="11" t="s">
        <v>116</v>
      </c>
      <c r="B3" s="11" t="s">
        <v>428</v>
      </c>
      <c r="C3" s="11">
        <v>1</v>
      </c>
      <c r="D3" s="8">
        <v>19120</v>
      </c>
      <c r="E3" s="11" t="s">
        <v>548</v>
      </c>
      <c r="F3" s="11">
        <v>2</v>
      </c>
      <c r="G3" s="11">
        <v>4600</v>
      </c>
      <c r="H3" s="11">
        <v>2016</v>
      </c>
      <c r="I3" s="11" t="s">
        <v>549</v>
      </c>
      <c r="J3" s="11" t="s">
        <v>81</v>
      </c>
      <c r="K3" s="11" t="s">
        <v>566</v>
      </c>
      <c r="L3" s="11" t="s">
        <v>550</v>
      </c>
      <c r="M3" s="11" t="s">
        <v>80</v>
      </c>
      <c r="N3" s="11" t="s">
        <v>543</v>
      </c>
      <c r="O3" s="11" t="s">
        <v>544</v>
      </c>
      <c r="P3" s="11" t="s">
        <v>545</v>
      </c>
      <c r="Q3" s="11"/>
      <c r="R3" s="11" t="s">
        <v>81</v>
      </c>
      <c r="S3" s="11" t="s">
        <v>81</v>
      </c>
      <c r="T3" s="11" t="s">
        <v>80</v>
      </c>
      <c r="U3" s="11" t="s">
        <v>81</v>
      </c>
      <c r="V3" s="11">
        <v>21</v>
      </c>
      <c r="W3" s="11"/>
      <c r="X3" s="11"/>
      <c r="Y3" s="11">
        <v>110</v>
      </c>
      <c r="Z3" s="11" t="s">
        <v>567</v>
      </c>
      <c r="AA3" s="11" t="s">
        <v>568</v>
      </c>
      <c r="AB3" s="11" t="s">
        <v>81</v>
      </c>
      <c r="AC3" s="11" t="s">
        <v>80</v>
      </c>
      <c r="AD3" s="11">
        <v>2023</v>
      </c>
      <c r="AE3" s="11">
        <v>2022</v>
      </c>
      <c r="AF3" s="11">
        <v>2022</v>
      </c>
      <c r="AG3" s="11">
        <v>2023</v>
      </c>
      <c r="AH3" s="11"/>
      <c r="AI3" s="11"/>
      <c r="AJ3" s="11"/>
      <c r="AK3" s="11"/>
      <c r="AL3" s="11"/>
    </row>
    <row r="4" spans="1:38" ht="14.25" customHeight="1">
      <c r="A4" s="11" t="s">
        <v>116</v>
      </c>
      <c r="B4" s="11" t="s">
        <v>432</v>
      </c>
      <c r="C4" s="11">
        <v>2</v>
      </c>
      <c r="D4" s="8">
        <v>19121</v>
      </c>
      <c r="E4" s="11" t="s">
        <v>556</v>
      </c>
      <c r="F4" s="11">
        <v>3</v>
      </c>
      <c r="G4" s="11">
        <v>9500</v>
      </c>
      <c r="H4" s="11">
        <v>2017</v>
      </c>
      <c r="I4" s="11" t="s">
        <v>540</v>
      </c>
      <c r="J4" s="11" t="s">
        <v>81</v>
      </c>
      <c r="K4" s="11" t="s">
        <v>566</v>
      </c>
      <c r="L4" s="11" t="s">
        <v>557</v>
      </c>
      <c r="M4" s="11" t="s">
        <v>80</v>
      </c>
      <c r="N4" s="7" t="s">
        <v>543</v>
      </c>
      <c r="O4" s="11" t="s">
        <v>544</v>
      </c>
      <c r="P4" s="11" t="s">
        <v>545</v>
      </c>
      <c r="Q4" s="11"/>
      <c r="R4" s="11" t="s">
        <v>81</v>
      </c>
      <c r="S4" s="11" t="s">
        <v>81</v>
      </c>
      <c r="T4" s="11" t="s">
        <v>81</v>
      </c>
      <c r="U4" s="11"/>
      <c r="V4" s="11"/>
      <c r="W4" s="11" t="s">
        <v>554</v>
      </c>
      <c r="X4" s="11" t="s">
        <v>569</v>
      </c>
      <c r="Y4" s="11">
        <v>230</v>
      </c>
      <c r="Z4" s="11" t="s">
        <v>546</v>
      </c>
      <c r="AA4" s="11" t="s">
        <v>568</v>
      </c>
      <c r="AB4" s="11" t="s">
        <v>80</v>
      </c>
      <c r="AC4" s="11" t="s">
        <v>80</v>
      </c>
      <c r="AD4" s="11">
        <v>2020</v>
      </c>
      <c r="AE4" s="11">
        <v>2019</v>
      </c>
      <c r="AF4" s="11">
        <v>2018</v>
      </c>
      <c r="AG4" s="11">
        <v>2020</v>
      </c>
      <c r="AH4" s="11"/>
      <c r="AI4" s="11"/>
      <c r="AJ4" s="11"/>
      <c r="AK4" s="11"/>
      <c r="AL4" s="11"/>
    </row>
    <row r="5" spans="1:38" ht="14.25" customHeight="1">
      <c r="A5" s="11" t="s">
        <v>116</v>
      </c>
      <c r="B5" s="11" t="s">
        <v>435</v>
      </c>
      <c r="C5" s="11">
        <v>3</v>
      </c>
      <c r="D5" s="8">
        <v>19115</v>
      </c>
      <c r="E5" s="11" t="s">
        <v>558</v>
      </c>
      <c r="F5" s="11">
        <v>5</v>
      </c>
      <c r="G5" s="11">
        <v>11800</v>
      </c>
      <c r="H5" s="11">
        <v>2014</v>
      </c>
      <c r="I5" s="11" t="s">
        <v>559</v>
      </c>
      <c r="J5" s="11" t="s">
        <v>81</v>
      </c>
      <c r="K5" s="11" t="s">
        <v>566</v>
      </c>
      <c r="L5" s="11" t="s">
        <v>560</v>
      </c>
      <c r="M5" s="11" t="s">
        <v>80</v>
      </c>
      <c r="N5" s="7" t="s">
        <v>543</v>
      </c>
      <c r="O5" s="11" t="s">
        <v>544</v>
      </c>
      <c r="P5" s="11" t="s">
        <v>545</v>
      </c>
      <c r="Q5" s="11"/>
      <c r="R5" s="11" t="s">
        <v>81</v>
      </c>
      <c r="S5" s="11" t="s">
        <v>81</v>
      </c>
      <c r="T5" s="11" t="s">
        <v>81</v>
      </c>
      <c r="U5" s="11"/>
      <c r="V5" s="11"/>
      <c r="W5" s="11" t="s">
        <v>554</v>
      </c>
      <c r="X5" s="11" t="s">
        <v>569</v>
      </c>
      <c r="Y5" s="11">
        <v>240</v>
      </c>
      <c r="Z5" s="11" t="s">
        <v>567</v>
      </c>
      <c r="AA5" s="11" t="s">
        <v>547</v>
      </c>
      <c r="AB5" s="11" t="s">
        <v>80</v>
      </c>
      <c r="AC5" s="11" t="s">
        <v>80</v>
      </c>
      <c r="AD5" s="11">
        <v>2015</v>
      </c>
      <c r="AE5" s="11">
        <v>2018</v>
      </c>
      <c r="AF5" s="11">
        <v>2017</v>
      </c>
      <c r="AG5" s="11">
        <v>2019</v>
      </c>
      <c r="AH5" s="11"/>
      <c r="AI5" s="11"/>
      <c r="AJ5" s="11"/>
      <c r="AK5" s="11"/>
      <c r="AL5" s="11"/>
    </row>
    <row r="6" spans="1:38" ht="14.25" customHeight="1">
      <c r="A6" s="11" t="s">
        <v>116</v>
      </c>
      <c r="B6" s="11" t="s">
        <v>437</v>
      </c>
      <c r="C6" s="11">
        <v>4</v>
      </c>
      <c r="D6" s="8">
        <v>19116</v>
      </c>
      <c r="E6" s="11" t="s">
        <v>563</v>
      </c>
      <c r="F6" s="11">
        <v>2</v>
      </c>
      <c r="G6" s="11">
        <v>5600</v>
      </c>
      <c r="H6" s="11">
        <v>1998</v>
      </c>
      <c r="I6" s="11" t="s">
        <v>549</v>
      </c>
      <c r="J6" s="11" t="s">
        <v>81</v>
      </c>
      <c r="K6" s="11" t="s">
        <v>566</v>
      </c>
      <c r="L6" s="11" t="s">
        <v>564</v>
      </c>
      <c r="M6" s="11" t="s">
        <v>80</v>
      </c>
      <c r="N6" s="11" t="s">
        <v>553</v>
      </c>
      <c r="O6" s="11" t="s">
        <v>565</v>
      </c>
      <c r="P6" s="11">
        <v>10000</v>
      </c>
      <c r="Q6" s="11"/>
      <c r="R6" s="11" t="s">
        <v>81</v>
      </c>
      <c r="S6" s="11" t="s">
        <v>81</v>
      </c>
      <c r="T6" s="11" t="s">
        <v>81</v>
      </c>
      <c r="U6" s="11"/>
      <c r="V6" s="11"/>
      <c r="W6" s="11" t="s">
        <v>561</v>
      </c>
      <c r="X6" s="11" t="s">
        <v>562</v>
      </c>
      <c r="Y6" s="11">
        <v>70</v>
      </c>
      <c r="Z6" s="11" t="s">
        <v>546</v>
      </c>
      <c r="AA6" s="11" t="s">
        <v>568</v>
      </c>
      <c r="AB6" s="11" t="s">
        <v>80</v>
      </c>
      <c r="AC6" s="11" t="s">
        <v>80</v>
      </c>
      <c r="AD6" s="11">
        <v>2023</v>
      </c>
      <c r="AE6" s="11">
        <v>2022</v>
      </c>
      <c r="AF6" s="11">
        <v>2022</v>
      </c>
      <c r="AG6" s="11">
        <v>2023</v>
      </c>
      <c r="AH6" s="11"/>
      <c r="AI6" s="11"/>
      <c r="AJ6" s="11"/>
      <c r="AK6" s="11"/>
      <c r="AL6" s="11"/>
    </row>
    <row r="7" spans="1:38" ht="14.25" customHeight="1">
      <c r="A7" s="11" t="s">
        <v>116</v>
      </c>
      <c r="B7" s="11" t="s">
        <v>440</v>
      </c>
      <c r="C7" s="11">
        <v>5</v>
      </c>
      <c r="D7" s="8">
        <v>19118</v>
      </c>
      <c r="E7" s="11" t="s">
        <v>570</v>
      </c>
      <c r="F7" s="11">
        <v>8</v>
      </c>
      <c r="G7" s="11">
        <v>18000</v>
      </c>
      <c r="H7" s="11">
        <v>2018</v>
      </c>
      <c r="I7" s="11" t="s">
        <v>540</v>
      </c>
      <c r="J7" s="11" t="s">
        <v>81</v>
      </c>
      <c r="K7" s="11" t="s">
        <v>566</v>
      </c>
      <c r="L7" s="11" t="s">
        <v>571</v>
      </c>
      <c r="M7" s="11" t="s">
        <v>80</v>
      </c>
      <c r="N7" s="7" t="s">
        <v>543</v>
      </c>
      <c r="O7" s="11" t="s">
        <v>565</v>
      </c>
      <c r="P7" s="11" t="s">
        <v>545</v>
      </c>
      <c r="Q7" s="11"/>
      <c r="R7" s="11" t="s">
        <v>81</v>
      </c>
      <c r="S7" s="11" t="s">
        <v>81</v>
      </c>
      <c r="T7" s="11" t="s">
        <v>81</v>
      </c>
      <c r="U7" s="11"/>
      <c r="V7" s="11"/>
      <c r="W7" s="11" t="s">
        <v>572</v>
      </c>
      <c r="X7" s="11" t="s">
        <v>573</v>
      </c>
      <c r="Y7" s="11">
        <v>55</v>
      </c>
      <c r="Z7" s="11" t="s">
        <v>546</v>
      </c>
      <c r="AA7" s="11" t="s">
        <v>547</v>
      </c>
      <c r="AB7" s="11" t="s">
        <v>80</v>
      </c>
      <c r="AC7" s="11" t="s">
        <v>80</v>
      </c>
      <c r="AD7" s="11">
        <v>2023</v>
      </c>
      <c r="AE7" s="11">
        <v>2023</v>
      </c>
      <c r="AF7" s="11">
        <v>2023</v>
      </c>
      <c r="AG7" s="11">
        <v>2023</v>
      </c>
      <c r="AH7" s="11"/>
      <c r="AI7" s="11"/>
      <c r="AJ7" s="11"/>
      <c r="AK7" s="11"/>
      <c r="AL7" s="11"/>
    </row>
    <row r="8" spans="1:38" ht="14.25" customHeight="1">
      <c r="A8" s="11" t="s">
        <v>151</v>
      </c>
      <c r="B8" s="11" t="s">
        <v>442</v>
      </c>
      <c r="C8" s="11">
        <v>1</v>
      </c>
      <c r="D8" s="20">
        <v>20008</v>
      </c>
      <c r="E8" s="11" t="s">
        <v>563</v>
      </c>
      <c r="F8" s="11">
        <v>2</v>
      </c>
      <c r="G8" s="11">
        <v>5600</v>
      </c>
      <c r="H8" s="11">
        <v>1998</v>
      </c>
      <c r="I8" s="11" t="s">
        <v>549</v>
      </c>
      <c r="J8" s="11" t="s">
        <v>81</v>
      </c>
      <c r="K8" s="11" t="s">
        <v>566</v>
      </c>
      <c r="L8" s="11" t="s">
        <v>564</v>
      </c>
      <c r="M8" s="11" t="s">
        <v>80</v>
      </c>
      <c r="N8" s="11" t="s">
        <v>553</v>
      </c>
      <c r="O8" s="11" t="s">
        <v>565</v>
      </c>
      <c r="P8" s="11" t="s">
        <v>545</v>
      </c>
      <c r="Q8" s="11"/>
      <c r="R8" s="11" t="s">
        <v>81</v>
      </c>
      <c r="S8" s="11" t="s">
        <v>81</v>
      </c>
      <c r="T8" s="11" t="s">
        <v>80</v>
      </c>
      <c r="U8" s="11" t="s">
        <v>81</v>
      </c>
      <c r="V8" s="11">
        <v>32</v>
      </c>
      <c r="W8" s="11"/>
      <c r="X8" s="11"/>
      <c r="Y8" s="11">
        <v>60</v>
      </c>
      <c r="Z8" s="11" t="s">
        <v>567</v>
      </c>
      <c r="AA8" s="11" t="s">
        <v>568</v>
      </c>
      <c r="AB8" s="11" t="s">
        <v>80</v>
      </c>
      <c r="AC8" s="11" t="s">
        <v>80</v>
      </c>
      <c r="AD8" s="11">
        <v>2022</v>
      </c>
      <c r="AE8" s="11">
        <v>2022</v>
      </c>
      <c r="AF8" s="11">
        <v>2021</v>
      </c>
      <c r="AG8" s="11">
        <v>2022</v>
      </c>
      <c r="AH8" s="11"/>
      <c r="AI8" s="11"/>
      <c r="AJ8" s="11"/>
      <c r="AK8" s="11"/>
      <c r="AL8" s="11"/>
    </row>
    <row r="9" spans="1:38" ht="14.25" customHeight="1">
      <c r="A9" s="11" t="s">
        <v>151</v>
      </c>
      <c r="B9" s="11" t="s">
        <v>446</v>
      </c>
      <c r="C9" s="11">
        <v>2</v>
      </c>
      <c r="D9" s="20">
        <v>20009</v>
      </c>
      <c r="E9" s="11" t="s">
        <v>574</v>
      </c>
      <c r="F9" s="11">
        <v>1</v>
      </c>
      <c r="G9" s="11">
        <v>26000</v>
      </c>
      <c r="H9" s="11">
        <v>2007</v>
      </c>
      <c r="I9" s="11" t="s">
        <v>575</v>
      </c>
      <c r="J9" s="11" t="s">
        <v>81</v>
      </c>
      <c r="K9" s="11" t="s">
        <v>566</v>
      </c>
      <c r="L9" s="11" t="s">
        <v>576</v>
      </c>
      <c r="M9" s="11" t="s">
        <v>80</v>
      </c>
      <c r="N9" s="7" t="s">
        <v>543</v>
      </c>
      <c r="O9" s="11" t="s">
        <v>565</v>
      </c>
      <c r="P9" s="11" t="s">
        <v>545</v>
      </c>
      <c r="Q9" s="11"/>
      <c r="R9" s="11" t="s">
        <v>81</v>
      </c>
      <c r="S9" s="11" t="s">
        <v>81</v>
      </c>
      <c r="T9" s="11" t="s">
        <v>80</v>
      </c>
      <c r="U9" s="11" t="s">
        <v>81</v>
      </c>
      <c r="V9" s="11">
        <v>32</v>
      </c>
      <c r="W9" s="11"/>
      <c r="X9" s="11"/>
      <c r="Y9" s="11">
        <v>230</v>
      </c>
      <c r="Z9" s="11" t="s">
        <v>546</v>
      </c>
      <c r="AA9" s="11" t="s">
        <v>568</v>
      </c>
      <c r="AB9" s="11" t="s">
        <v>80</v>
      </c>
      <c r="AC9" s="11" t="s">
        <v>80</v>
      </c>
      <c r="AD9" s="11">
        <v>2020</v>
      </c>
      <c r="AE9" s="11">
        <v>2019</v>
      </c>
      <c r="AF9" s="11">
        <v>2018</v>
      </c>
      <c r="AG9" s="11">
        <v>2020</v>
      </c>
      <c r="AH9" s="11"/>
      <c r="AI9" s="11"/>
      <c r="AJ9" s="11"/>
      <c r="AK9" s="11"/>
      <c r="AL9" s="11"/>
    </row>
    <row r="10" spans="1:38" ht="14.25" customHeight="1">
      <c r="A10" s="11" t="s">
        <v>151</v>
      </c>
      <c r="B10" s="11" t="s">
        <v>440</v>
      </c>
      <c r="C10" s="11">
        <v>3</v>
      </c>
      <c r="D10" s="20">
        <v>20010</v>
      </c>
      <c r="E10" s="11" t="s">
        <v>577</v>
      </c>
      <c r="F10" s="11">
        <v>1</v>
      </c>
      <c r="G10" s="11">
        <v>30000</v>
      </c>
      <c r="H10" s="11">
        <v>1999</v>
      </c>
      <c r="I10" s="11" t="s">
        <v>549</v>
      </c>
      <c r="J10" s="11" t="s">
        <v>81</v>
      </c>
      <c r="K10" s="11" t="s">
        <v>566</v>
      </c>
      <c r="L10" s="11" t="s">
        <v>578</v>
      </c>
      <c r="M10" s="11" t="s">
        <v>80</v>
      </c>
      <c r="N10" s="11" t="s">
        <v>553</v>
      </c>
      <c r="O10" s="11" t="s">
        <v>565</v>
      </c>
      <c r="P10" s="11" t="s">
        <v>545</v>
      </c>
      <c r="Q10" s="11"/>
      <c r="R10" s="11" t="s">
        <v>81</v>
      </c>
      <c r="S10" s="11" t="s">
        <v>81</v>
      </c>
      <c r="T10" s="11" t="s">
        <v>80</v>
      </c>
      <c r="U10" s="11" t="s">
        <v>80</v>
      </c>
      <c r="V10" s="11"/>
      <c r="W10" s="11"/>
      <c r="X10" s="11"/>
      <c r="Y10" s="11">
        <v>240</v>
      </c>
      <c r="Z10" s="11" t="s">
        <v>567</v>
      </c>
      <c r="AA10" s="11" t="s">
        <v>547</v>
      </c>
      <c r="AB10" s="11" t="s">
        <v>80</v>
      </c>
      <c r="AC10" s="11" t="s">
        <v>80</v>
      </c>
      <c r="AD10" s="11">
        <v>2015</v>
      </c>
      <c r="AE10" s="11">
        <v>2018</v>
      </c>
      <c r="AF10" s="11">
        <v>2017</v>
      </c>
      <c r="AG10" s="11">
        <v>2019</v>
      </c>
      <c r="AH10" s="11"/>
      <c r="AI10" s="11"/>
      <c r="AJ10" s="11"/>
      <c r="AK10" s="11"/>
      <c r="AL10" s="11"/>
    </row>
    <row r="11" spans="1:38" ht="14.25" customHeight="1">
      <c r="A11" s="11" t="s">
        <v>151</v>
      </c>
      <c r="B11" s="11" t="s">
        <v>442</v>
      </c>
      <c r="C11" s="11">
        <v>4</v>
      </c>
      <c r="D11" s="20">
        <v>20011</v>
      </c>
      <c r="E11" s="11" t="s">
        <v>563</v>
      </c>
      <c r="F11" s="11">
        <v>2</v>
      </c>
      <c r="G11" s="11">
        <v>5600</v>
      </c>
      <c r="H11" s="11">
        <v>1998</v>
      </c>
      <c r="I11" s="11" t="s">
        <v>549</v>
      </c>
      <c r="J11" s="11" t="s">
        <v>81</v>
      </c>
      <c r="K11" s="11" t="s">
        <v>566</v>
      </c>
      <c r="L11" s="11" t="s">
        <v>564</v>
      </c>
      <c r="M11" s="11" t="s">
        <v>80</v>
      </c>
      <c r="N11" s="11" t="s">
        <v>553</v>
      </c>
      <c r="O11" s="11" t="s">
        <v>565</v>
      </c>
      <c r="P11" s="11" t="s">
        <v>545</v>
      </c>
      <c r="Q11" s="11"/>
      <c r="R11" s="11" t="s">
        <v>81</v>
      </c>
      <c r="S11" s="11" t="s">
        <v>81</v>
      </c>
      <c r="T11" s="11" t="s">
        <v>81</v>
      </c>
      <c r="U11" s="11"/>
      <c r="V11" s="11"/>
      <c r="W11" s="11" t="s">
        <v>554</v>
      </c>
      <c r="X11" s="11" t="s">
        <v>569</v>
      </c>
      <c r="Y11" s="11">
        <v>60</v>
      </c>
      <c r="Z11" s="11" t="s">
        <v>567</v>
      </c>
      <c r="AA11" s="11" t="s">
        <v>568</v>
      </c>
      <c r="AB11" s="11" t="s">
        <v>80</v>
      </c>
      <c r="AC11" s="11" t="s">
        <v>80</v>
      </c>
      <c r="AD11" s="11">
        <v>2022</v>
      </c>
      <c r="AE11" s="11">
        <v>2022</v>
      </c>
      <c r="AF11" s="11">
        <v>2021</v>
      </c>
      <c r="AG11" s="11">
        <v>2022</v>
      </c>
      <c r="AH11" s="11"/>
      <c r="AI11" s="11"/>
      <c r="AJ11" s="11"/>
      <c r="AK11" s="11"/>
      <c r="AL11" s="11"/>
    </row>
    <row r="12" spans="1:38" ht="14.25" customHeight="1">
      <c r="A12" s="11" t="s">
        <v>188</v>
      </c>
      <c r="B12" s="11" t="s">
        <v>446</v>
      </c>
      <c r="C12" s="11">
        <v>1</v>
      </c>
      <c r="D12" s="20">
        <v>19107</v>
      </c>
      <c r="E12" s="11" t="s">
        <v>579</v>
      </c>
      <c r="F12" s="11">
        <v>10</v>
      </c>
      <c r="G12" s="11">
        <v>16400</v>
      </c>
      <c r="H12" s="11">
        <v>2017</v>
      </c>
      <c r="I12" s="11" t="s">
        <v>540</v>
      </c>
      <c r="J12" s="11" t="s">
        <v>81</v>
      </c>
      <c r="K12" s="11" t="s">
        <v>541</v>
      </c>
      <c r="L12" s="11" t="s">
        <v>580</v>
      </c>
      <c r="M12" s="11" t="s">
        <v>80</v>
      </c>
      <c r="N12" s="7" t="s">
        <v>543</v>
      </c>
      <c r="O12" s="11" t="s">
        <v>544</v>
      </c>
      <c r="P12" s="11" t="s">
        <v>545</v>
      </c>
      <c r="Q12" s="11"/>
      <c r="R12" s="11" t="s">
        <v>81</v>
      </c>
      <c r="S12" s="11" t="s">
        <v>81</v>
      </c>
      <c r="T12" s="11" t="s">
        <v>80</v>
      </c>
      <c r="U12" s="11" t="s">
        <v>81</v>
      </c>
      <c r="V12" s="11">
        <v>10</v>
      </c>
      <c r="W12" s="11"/>
      <c r="X12" s="11"/>
      <c r="Y12" s="11">
        <v>70</v>
      </c>
      <c r="Z12" s="11" t="s">
        <v>546</v>
      </c>
      <c r="AA12" s="11" t="s">
        <v>568</v>
      </c>
      <c r="AB12" s="11" t="s">
        <v>80</v>
      </c>
      <c r="AC12" s="11" t="s">
        <v>80</v>
      </c>
      <c r="AD12" s="11">
        <v>2023</v>
      </c>
      <c r="AE12" s="11">
        <v>2022</v>
      </c>
      <c r="AF12" s="11">
        <v>2022</v>
      </c>
      <c r="AG12" s="11">
        <v>2023</v>
      </c>
      <c r="AH12" s="11"/>
      <c r="AI12" s="11"/>
      <c r="AJ12" s="11"/>
      <c r="AK12" s="11"/>
      <c r="AL12" s="11"/>
    </row>
    <row r="13" spans="1:38" ht="14.25" customHeight="1">
      <c r="A13" s="11" t="s">
        <v>188</v>
      </c>
      <c r="B13" s="11" t="s">
        <v>448</v>
      </c>
      <c r="C13" s="11">
        <v>2</v>
      </c>
      <c r="D13" s="20">
        <v>19108</v>
      </c>
      <c r="E13" s="11" t="s">
        <v>581</v>
      </c>
      <c r="F13" s="11">
        <v>4</v>
      </c>
      <c r="G13" s="11">
        <v>12450</v>
      </c>
      <c r="H13" s="11">
        <v>2016</v>
      </c>
      <c r="I13" s="11" t="s">
        <v>540</v>
      </c>
      <c r="J13" s="11" t="s">
        <v>81</v>
      </c>
      <c r="K13" s="11" t="s">
        <v>541</v>
      </c>
      <c r="L13" s="11" t="s">
        <v>582</v>
      </c>
      <c r="M13" s="11" t="s">
        <v>80</v>
      </c>
      <c r="N13" s="7" t="s">
        <v>543</v>
      </c>
      <c r="O13" s="11" t="s">
        <v>544</v>
      </c>
      <c r="P13" s="11" t="s">
        <v>545</v>
      </c>
      <c r="Q13" s="11"/>
      <c r="R13" s="11" t="s">
        <v>81</v>
      </c>
      <c r="S13" s="11" t="s">
        <v>81</v>
      </c>
      <c r="T13" s="11" t="s">
        <v>81</v>
      </c>
      <c r="U13" s="11"/>
      <c r="V13" s="11"/>
      <c r="W13" s="11" t="s">
        <v>554</v>
      </c>
      <c r="X13" s="11" t="s">
        <v>569</v>
      </c>
      <c r="Y13" s="11">
        <v>90</v>
      </c>
      <c r="Z13" s="11" t="s">
        <v>567</v>
      </c>
      <c r="AA13" s="11" t="s">
        <v>547</v>
      </c>
      <c r="AB13" s="11" t="s">
        <v>80</v>
      </c>
      <c r="AC13" s="11" t="s">
        <v>80</v>
      </c>
      <c r="AD13" s="11">
        <v>2024</v>
      </c>
      <c r="AE13" s="11">
        <v>2024</v>
      </c>
      <c r="AF13" s="11">
        <v>2023</v>
      </c>
      <c r="AG13" s="11">
        <v>2024</v>
      </c>
      <c r="AH13" s="11"/>
      <c r="AI13" s="11"/>
      <c r="AJ13" s="11"/>
      <c r="AK13" s="11"/>
      <c r="AL13" s="11"/>
    </row>
    <row r="14" spans="1:38" ht="14.25" customHeight="1">
      <c r="A14" s="11" t="s">
        <v>188</v>
      </c>
      <c r="B14" s="11" t="s">
        <v>446</v>
      </c>
      <c r="C14" s="11">
        <v>3</v>
      </c>
      <c r="D14" s="20">
        <v>19109</v>
      </c>
      <c r="E14" s="11" t="s">
        <v>583</v>
      </c>
      <c r="F14" s="11">
        <v>8</v>
      </c>
      <c r="G14" s="11">
        <v>22000</v>
      </c>
      <c r="H14" s="11">
        <v>2020</v>
      </c>
      <c r="I14" s="11" t="s">
        <v>540</v>
      </c>
      <c r="J14" s="11" t="s">
        <v>81</v>
      </c>
      <c r="K14" s="11" t="s">
        <v>541</v>
      </c>
      <c r="L14" s="11" t="s">
        <v>584</v>
      </c>
      <c r="M14" s="11" t="s">
        <v>80</v>
      </c>
      <c r="N14" s="7" t="s">
        <v>543</v>
      </c>
      <c r="O14" s="11" t="s">
        <v>565</v>
      </c>
      <c r="P14" s="11" t="s">
        <v>545</v>
      </c>
      <c r="Q14" s="11"/>
      <c r="R14" s="11" t="s">
        <v>81</v>
      </c>
      <c r="S14" s="11" t="s">
        <v>81</v>
      </c>
      <c r="T14" s="11" t="s">
        <v>81</v>
      </c>
      <c r="U14" s="11"/>
      <c r="V14" s="11"/>
      <c r="W14" s="11" t="s">
        <v>561</v>
      </c>
      <c r="X14" s="11" t="s">
        <v>585</v>
      </c>
      <c r="Y14" s="11">
        <v>40</v>
      </c>
      <c r="Z14" s="11" t="s">
        <v>567</v>
      </c>
      <c r="AA14" s="11" t="s">
        <v>568</v>
      </c>
      <c r="AB14" s="11" t="s">
        <v>80</v>
      </c>
      <c r="AC14" s="11" t="s">
        <v>80</v>
      </c>
      <c r="AD14" s="11">
        <v>2025</v>
      </c>
      <c r="AE14" s="11">
        <v>2025</v>
      </c>
      <c r="AF14" s="11">
        <v>2025</v>
      </c>
      <c r="AG14" s="11">
        <v>2025</v>
      </c>
      <c r="AH14" s="11"/>
      <c r="AI14" s="11"/>
      <c r="AJ14" s="11"/>
      <c r="AK14" s="11"/>
      <c r="AL14" s="11"/>
    </row>
    <row r="15" spans="1:38" ht="14.25" customHeight="1">
      <c r="A15" s="11" t="s">
        <v>217</v>
      </c>
      <c r="B15" s="11" t="s">
        <v>448</v>
      </c>
      <c r="C15" s="11">
        <v>1</v>
      </c>
      <c r="D15" s="20">
        <v>27109</v>
      </c>
      <c r="E15" s="11" t="s">
        <v>551</v>
      </c>
      <c r="F15" s="11">
        <v>2</v>
      </c>
      <c r="G15" s="11">
        <v>6200</v>
      </c>
      <c r="H15" s="11">
        <v>1994</v>
      </c>
      <c r="I15" s="11" t="s">
        <v>549</v>
      </c>
      <c r="J15" s="11" t="s">
        <v>81</v>
      </c>
      <c r="K15" s="11" t="s">
        <v>541</v>
      </c>
      <c r="L15" s="11" t="s">
        <v>552</v>
      </c>
      <c r="M15" s="11" t="s">
        <v>81</v>
      </c>
      <c r="N15" s="11" t="s">
        <v>553</v>
      </c>
      <c r="O15" s="11" t="s">
        <v>544</v>
      </c>
      <c r="P15" s="11" t="s">
        <v>545</v>
      </c>
      <c r="Q15" s="11"/>
      <c r="R15" s="11" t="s">
        <v>81</v>
      </c>
      <c r="S15" s="11" t="s">
        <v>81</v>
      </c>
      <c r="T15" s="11" t="s">
        <v>80</v>
      </c>
      <c r="U15" s="11" t="s">
        <v>81</v>
      </c>
      <c r="V15" s="11">
        <v>60</v>
      </c>
      <c r="W15" s="11"/>
      <c r="X15" s="11"/>
      <c r="Y15" s="11">
        <v>120</v>
      </c>
      <c r="Z15" s="11" t="s">
        <v>567</v>
      </c>
      <c r="AA15" s="11" t="s">
        <v>547</v>
      </c>
      <c r="AB15" s="11" t="s">
        <v>81</v>
      </c>
      <c r="AC15" s="11" t="s">
        <v>80</v>
      </c>
      <c r="AD15" s="11">
        <v>2015</v>
      </c>
      <c r="AE15" s="11">
        <v>2016</v>
      </c>
      <c r="AF15" s="11">
        <v>2015</v>
      </c>
      <c r="AG15" s="11">
        <v>2017</v>
      </c>
      <c r="AH15" s="11"/>
      <c r="AI15" s="11"/>
      <c r="AJ15" s="11"/>
      <c r="AK15" s="11"/>
      <c r="AL15" s="11"/>
    </row>
    <row r="16" spans="1:38" ht="14.25" customHeight="1">
      <c r="A16" s="11" t="s">
        <v>217</v>
      </c>
      <c r="B16" s="11" t="s">
        <v>448</v>
      </c>
      <c r="C16" s="11">
        <v>2</v>
      </c>
      <c r="D16" s="20">
        <v>27110</v>
      </c>
      <c r="E16" s="11" t="s">
        <v>556</v>
      </c>
      <c r="F16" s="11">
        <v>3</v>
      </c>
      <c r="G16" s="11">
        <v>9500</v>
      </c>
      <c r="H16" s="11">
        <v>2017</v>
      </c>
      <c r="I16" s="11" t="s">
        <v>540</v>
      </c>
      <c r="J16" s="11" t="s">
        <v>81</v>
      </c>
      <c r="K16" s="11" t="s">
        <v>541</v>
      </c>
      <c r="L16" s="11" t="s">
        <v>557</v>
      </c>
      <c r="M16" s="11" t="s">
        <v>80</v>
      </c>
      <c r="N16" s="7" t="s">
        <v>543</v>
      </c>
      <c r="O16" s="11" t="s">
        <v>544</v>
      </c>
      <c r="P16" s="11" t="s">
        <v>545</v>
      </c>
      <c r="Q16" s="11"/>
      <c r="R16" s="11" t="s">
        <v>81</v>
      </c>
      <c r="S16" s="11" t="s">
        <v>81</v>
      </c>
      <c r="T16" s="11" t="s">
        <v>81</v>
      </c>
      <c r="U16" s="11"/>
      <c r="V16" s="11"/>
      <c r="W16" s="11" t="s">
        <v>572</v>
      </c>
      <c r="X16" s="11" t="s">
        <v>555</v>
      </c>
      <c r="Y16" s="11">
        <v>70</v>
      </c>
      <c r="Z16" s="11" t="s">
        <v>567</v>
      </c>
      <c r="AA16" s="11" t="s">
        <v>568</v>
      </c>
      <c r="AB16" s="11" t="s">
        <v>80</v>
      </c>
      <c r="AC16" s="11" t="s">
        <v>80</v>
      </c>
      <c r="AD16" s="11">
        <v>2023</v>
      </c>
      <c r="AE16" s="11">
        <v>2023</v>
      </c>
      <c r="AF16" s="11">
        <v>2023</v>
      </c>
      <c r="AG16" s="11">
        <v>2023</v>
      </c>
      <c r="AH16" s="11"/>
      <c r="AI16" s="11"/>
      <c r="AJ16" s="11"/>
      <c r="AK16" s="11"/>
      <c r="AL16" s="11"/>
    </row>
    <row r="17" spans="1:38" ht="14.25" customHeight="1">
      <c r="A17" s="11" t="s">
        <v>217</v>
      </c>
      <c r="B17" s="11" t="s">
        <v>451</v>
      </c>
      <c r="C17" s="11">
        <v>3</v>
      </c>
      <c r="D17" s="20">
        <v>27111</v>
      </c>
      <c r="E17" s="11" t="s">
        <v>558</v>
      </c>
      <c r="F17" s="11">
        <v>5</v>
      </c>
      <c r="G17" s="11">
        <v>11800</v>
      </c>
      <c r="H17" s="11">
        <v>2014</v>
      </c>
      <c r="I17" s="11" t="s">
        <v>559</v>
      </c>
      <c r="J17" s="11" t="s">
        <v>81</v>
      </c>
      <c r="K17" s="11" t="s">
        <v>541</v>
      </c>
      <c r="L17" s="11" t="s">
        <v>560</v>
      </c>
      <c r="M17" s="11" t="s">
        <v>80</v>
      </c>
      <c r="N17" s="7" t="s">
        <v>543</v>
      </c>
      <c r="O17" s="11" t="s">
        <v>544</v>
      </c>
      <c r="P17" s="11" t="s">
        <v>545</v>
      </c>
      <c r="Q17" s="11"/>
      <c r="R17" s="11" t="s">
        <v>81</v>
      </c>
      <c r="S17" s="11" t="s">
        <v>81</v>
      </c>
      <c r="T17" s="11" t="s">
        <v>81</v>
      </c>
      <c r="U17" s="11"/>
      <c r="V17" s="11"/>
      <c r="W17" s="11" t="s">
        <v>561</v>
      </c>
      <c r="X17" s="11" t="s">
        <v>562</v>
      </c>
      <c r="Y17" s="11">
        <v>60</v>
      </c>
      <c r="Z17" s="11" t="s">
        <v>567</v>
      </c>
      <c r="AA17" s="11" t="s">
        <v>568</v>
      </c>
      <c r="AB17" s="11" t="s">
        <v>80</v>
      </c>
      <c r="AC17" s="11" t="s">
        <v>80</v>
      </c>
      <c r="AD17" s="11">
        <v>2022</v>
      </c>
      <c r="AE17" s="11">
        <v>2022</v>
      </c>
      <c r="AF17" s="11">
        <v>2021</v>
      </c>
      <c r="AG17" s="11">
        <v>2022</v>
      </c>
      <c r="AH17" s="11"/>
      <c r="AI17" s="11"/>
      <c r="AJ17" s="11"/>
      <c r="AK17" s="11"/>
      <c r="AL17" s="11"/>
    </row>
    <row r="18" spans="1:38" ht="14.25" customHeight="1">
      <c r="A18" s="11" t="s">
        <v>217</v>
      </c>
      <c r="B18" s="11" t="s">
        <v>453</v>
      </c>
      <c r="C18" s="11">
        <v>4</v>
      </c>
      <c r="D18" s="20">
        <v>27113</v>
      </c>
      <c r="E18" s="11" t="s">
        <v>563</v>
      </c>
      <c r="F18" s="11">
        <v>2</v>
      </c>
      <c r="G18" s="11">
        <v>5600</v>
      </c>
      <c r="H18" s="11">
        <v>1998</v>
      </c>
      <c r="I18" s="11" t="s">
        <v>549</v>
      </c>
      <c r="J18" s="11" t="s">
        <v>81</v>
      </c>
      <c r="K18" s="11" t="s">
        <v>541</v>
      </c>
      <c r="L18" s="11" t="s">
        <v>564</v>
      </c>
      <c r="M18" s="11" t="s">
        <v>80</v>
      </c>
      <c r="N18" s="11" t="s">
        <v>553</v>
      </c>
      <c r="O18" s="11" t="s">
        <v>565</v>
      </c>
      <c r="P18" s="11" t="s">
        <v>545</v>
      </c>
      <c r="Q18" s="11"/>
      <c r="R18" s="11" t="s">
        <v>81</v>
      </c>
      <c r="S18" s="11" t="s">
        <v>81</v>
      </c>
      <c r="T18" s="11" t="s">
        <v>81</v>
      </c>
      <c r="U18" s="11"/>
      <c r="V18" s="11"/>
      <c r="W18" s="11" t="s">
        <v>554</v>
      </c>
      <c r="X18" s="11" t="s">
        <v>569</v>
      </c>
      <c r="Y18" s="11">
        <v>60</v>
      </c>
      <c r="Z18" s="11" t="s">
        <v>567</v>
      </c>
      <c r="AA18" s="11" t="s">
        <v>568</v>
      </c>
      <c r="AB18" s="11" t="s">
        <v>80</v>
      </c>
      <c r="AC18" s="11" t="s">
        <v>80</v>
      </c>
      <c r="AD18" s="11">
        <v>2022</v>
      </c>
      <c r="AE18" s="11">
        <v>2022</v>
      </c>
      <c r="AF18" s="11">
        <v>2021</v>
      </c>
      <c r="AG18" s="11">
        <v>2022</v>
      </c>
      <c r="AH18" s="11"/>
      <c r="AI18" s="11"/>
      <c r="AJ18" s="11"/>
      <c r="AK18" s="11"/>
      <c r="AL18" s="11"/>
    </row>
    <row r="19" spans="1:38" ht="14.25" customHeight="1">
      <c r="A19" s="11" t="s">
        <v>217</v>
      </c>
      <c r="B19" s="11" t="s">
        <v>455</v>
      </c>
      <c r="C19" s="11">
        <v>5</v>
      </c>
      <c r="D19" s="20">
        <v>27114</v>
      </c>
      <c r="E19" s="11" t="s">
        <v>579</v>
      </c>
      <c r="F19" s="11">
        <v>10</v>
      </c>
      <c r="G19" s="11">
        <v>16400</v>
      </c>
      <c r="H19" s="11">
        <v>2017</v>
      </c>
      <c r="I19" s="11" t="s">
        <v>540</v>
      </c>
      <c r="J19" s="11" t="s">
        <v>81</v>
      </c>
      <c r="K19" s="11" t="s">
        <v>541</v>
      </c>
      <c r="L19" s="11" t="s">
        <v>580</v>
      </c>
      <c r="M19" s="11" t="s">
        <v>80</v>
      </c>
      <c r="N19" s="7" t="s">
        <v>543</v>
      </c>
      <c r="O19" s="11" t="s">
        <v>565</v>
      </c>
      <c r="P19" s="11" t="s">
        <v>545</v>
      </c>
      <c r="Q19" s="11"/>
      <c r="R19" s="11" t="s">
        <v>81</v>
      </c>
      <c r="S19" s="11" t="s">
        <v>81</v>
      </c>
      <c r="T19" s="11" t="s">
        <v>81</v>
      </c>
      <c r="U19" s="11"/>
      <c r="V19" s="11"/>
      <c r="W19" s="11" t="s">
        <v>561</v>
      </c>
      <c r="X19" s="11" t="s">
        <v>586</v>
      </c>
      <c r="Y19" s="11">
        <v>70</v>
      </c>
      <c r="Z19" s="11" t="s">
        <v>567</v>
      </c>
      <c r="AA19" s="11" t="s">
        <v>547</v>
      </c>
      <c r="AB19" s="11" t="s">
        <v>80</v>
      </c>
      <c r="AC19" s="11" t="s">
        <v>80</v>
      </c>
      <c r="AD19" s="11">
        <v>2023</v>
      </c>
      <c r="AE19" s="11">
        <v>2022</v>
      </c>
      <c r="AF19" s="11">
        <v>2022</v>
      </c>
      <c r="AG19" s="11">
        <v>2023</v>
      </c>
      <c r="AH19" s="11"/>
      <c r="AI19" s="11"/>
      <c r="AJ19" s="11"/>
      <c r="AK19" s="11"/>
      <c r="AL19" s="11"/>
    </row>
    <row r="20" spans="1:38" ht="14.25" customHeight="1">
      <c r="A20" s="11" t="s">
        <v>217</v>
      </c>
      <c r="B20" s="11" t="s">
        <v>457</v>
      </c>
      <c r="C20" s="11">
        <v>6</v>
      </c>
      <c r="D20" s="20">
        <v>27127</v>
      </c>
      <c r="E20" s="11" t="s">
        <v>581</v>
      </c>
      <c r="F20" s="11">
        <v>4</v>
      </c>
      <c r="G20" s="11">
        <v>12450</v>
      </c>
      <c r="H20" s="11">
        <v>2016</v>
      </c>
      <c r="I20" s="11" t="s">
        <v>540</v>
      </c>
      <c r="J20" s="11" t="s">
        <v>81</v>
      </c>
      <c r="K20" s="11" t="s">
        <v>541</v>
      </c>
      <c r="L20" s="11" t="s">
        <v>582</v>
      </c>
      <c r="M20" s="11" t="s">
        <v>80</v>
      </c>
      <c r="N20" s="7" t="s">
        <v>543</v>
      </c>
      <c r="O20" s="11" t="s">
        <v>544</v>
      </c>
      <c r="P20" s="11" t="s">
        <v>545</v>
      </c>
      <c r="Q20" s="11"/>
      <c r="R20" s="11" t="s">
        <v>81</v>
      </c>
      <c r="S20" s="11" t="s">
        <v>81</v>
      </c>
      <c r="T20" s="11" t="s">
        <v>80</v>
      </c>
      <c r="U20" s="11" t="s">
        <v>80</v>
      </c>
      <c r="V20" s="11"/>
      <c r="W20" s="11"/>
      <c r="X20" s="11"/>
      <c r="Y20" s="11">
        <v>90</v>
      </c>
      <c r="Z20" s="11" t="s">
        <v>567</v>
      </c>
      <c r="AA20" s="11" t="s">
        <v>547</v>
      </c>
      <c r="AB20" s="11" t="s">
        <v>80</v>
      </c>
      <c r="AC20" s="11" t="s">
        <v>80</v>
      </c>
      <c r="AD20" s="11">
        <v>2024</v>
      </c>
      <c r="AE20" s="11">
        <v>2024</v>
      </c>
      <c r="AF20" s="11">
        <v>2023</v>
      </c>
      <c r="AG20" s="11">
        <v>2024</v>
      </c>
      <c r="AH20" s="11"/>
      <c r="AI20" s="11"/>
      <c r="AJ20" s="11"/>
      <c r="AK20" s="11"/>
      <c r="AL20" s="11"/>
    </row>
    <row r="21" spans="1:38" ht="14.25" customHeight="1">
      <c r="A21" s="11" t="s">
        <v>251</v>
      </c>
      <c r="B21" s="11" t="s">
        <v>453</v>
      </c>
      <c r="C21" s="11">
        <v>1</v>
      </c>
      <c r="D21" s="7">
        <v>26505</v>
      </c>
      <c r="E21" s="11" t="s">
        <v>579</v>
      </c>
      <c r="F21" s="11">
        <v>10</v>
      </c>
      <c r="G21" s="11">
        <v>16400</v>
      </c>
      <c r="H21" s="11">
        <v>2017</v>
      </c>
      <c r="I21" s="11" t="s">
        <v>540</v>
      </c>
      <c r="J21" s="11" t="s">
        <v>81</v>
      </c>
      <c r="K21" s="11" t="s">
        <v>541</v>
      </c>
      <c r="L21" s="11" t="s">
        <v>580</v>
      </c>
      <c r="M21" s="11" t="s">
        <v>80</v>
      </c>
      <c r="N21" s="7" t="s">
        <v>543</v>
      </c>
      <c r="O21" s="11" t="s">
        <v>565</v>
      </c>
      <c r="P21" s="11" t="s">
        <v>545</v>
      </c>
      <c r="Q21" s="11"/>
      <c r="R21" s="11" t="s">
        <v>81</v>
      </c>
      <c r="S21" s="11" t="s">
        <v>81</v>
      </c>
      <c r="T21" s="11" t="s">
        <v>81</v>
      </c>
      <c r="U21" s="11"/>
      <c r="V21" s="11"/>
      <c r="W21" s="11" t="s">
        <v>561</v>
      </c>
      <c r="X21" s="11" t="s">
        <v>586</v>
      </c>
      <c r="Y21" s="11">
        <v>70</v>
      </c>
      <c r="Z21" s="11" t="s">
        <v>567</v>
      </c>
      <c r="AA21" s="11" t="s">
        <v>547</v>
      </c>
      <c r="AB21" s="11" t="s">
        <v>80</v>
      </c>
      <c r="AC21" s="11" t="s">
        <v>80</v>
      </c>
      <c r="AD21" s="11">
        <v>2023</v>
      </c>
      <c r="AE21" s="11">
        <v>2022</v>
      </c>
      <c r="AF21" s="11">
        <v>2022</v>
      </c>
      <c r="AG21" s="11">
        <v>2023</v>
      </c>
      <c r="AH21" s="11"/>
      <c r="AI21" s="11"/>
      <c r="AJ21" s="11"/>
      <c r="AK21" s="11"/>
      <c r="AL21" s="11"/>
    </row>
    <row r="22" spans="1:38" ht="14.25" customHeight="1">
      <c r="A22" s="11" t="s">
        <v>251</v>
      </c>
      <c r="B22" s="11" t="s">
        <v>455</v>
      </c>
      <c r="C22" s="11">
        <v>2</v>
      </c>
      <c r="D22" s="8">
        <v>22469</v>
      </c>
      <c r="E22" s="11" t="s">
        <v>581</v>
      </c>
      <c r="F22" s="11">
        <v>4</v>
      </c>
      <c r="G22" s="11">
        <v>12450</v>
      </c>
      <c r="H22" s="11">
        <v>2016</v>
      </c>
      <c r="I22" s="11" t="s">
        <v>540</v>
      </c>
      <c r="J22" s="11" t="s">
        <v>81</v>
      </c>
      <c r="K22" s="11" t="s">
        <v>541</v>
      </c>
      <c r="L22" s="11" t="s">
        <v>582</v>
      </c>
      <c r="M22" s="11" t="s">
        <v>80</v>
      </c>
      <c r="N22" s="7" t="s">
        <v>543</v>
      </c>
      <c r="O22" s="11" t="s">
        <v>544</v>
      </c>
      <c r="P22" s="11" t="s">
        <v>545</v>
      </c>
      <c r="Q22" s="11"/>
      <c r="R22" s="11" t="s">
        <v>81</v>
      </c>
      <c r="S22" s="11" t="s">
        <v>81</v>
      </c>
      <c r="T22" s="11" t="s">
        <v>80</v>
      </c>
      <c r="U22" s="11" t="s">
        <v>80</v>
      </c>
      <c r="V22" s="11"/>
      <c r="W22" s="11"/>
      <c r="X22" s="11"/>
      <c r="Y22" s="11">
        <v>90</v>
      </c>
      <c r="Z22" s="11" t="s">
        <v>567</v>
      </c>
      <c r="AA22" s="11" t="s">
        <v>547</v>
      </c>
      <c r="AB22" s="11" t="s">
        <v>80</v>
      </c>
      <c r="AC22" s="11" t="s">
        <v>80</v>
      </c>
      <c r="AD22" s="11">
        <v>2024</v>
      </c>
      <c r="AE22" s="11">
        <v>2024</v>
      </c>
      <c r="AF22" s="11">
        <v>2023</v>
      </c>
      <c r="AG22" s="11">
        <v>2024</v>
      </c>
      <c r="AH22" s="11"/>
      <c r="AI22" s="11"/>
      <c r="AJ22" s="11"/>
      <c r="AK22" s="11"/>
      <c r="AL22" s="11"/>
    </row>
    <row r="23" spans="1:38" ht="14.25" customHeight="1">
      <c r="A23" s="11" t="s">
        <v>251</v>
      </c>
      <c r="B23" s="11" t="s">
        <v>457</v>
      </c>
      <c r="C23" s="11">
        <v>3</v>
      </c>
      <c r="D23" s="8">
        <v>27115</v>
      </c>
      <c r="E23" s="11" t="s">
        <v>583</v>
      </c>
      <c r="F23" s="11">
        <v>8</v>
      </c>
      <c r="G23" s="11">
        <v>22000</v>
      </c>
      <c r="H23" s="11">
        <v>2020</v>
      </c>
      <c r="I23" s="11" t="s">
        <v>540</v>
      </c>
      <c r="J23" s="11" t="s">
        <v>81</v>
      </c>
      <c r="K23" s="11" t="s">
        <v>541</v>
      </c>
      <c r="L23" s="11" t="s">
        <v>584</v>
      </c>
      <c r="M23" s="11" t="s">
        <v>80</v>
      </c>
      <c r="N23" s="7" t="s">
        <v>543</v>
      </c>
      <c r="O23" s="11" t="s">
        <v>565</v>
      </c>
      <c r="P23" s="11" t="s">
        <v>545</v>
      </c>
      <c r="Q23" s="11"/>
      <c r="R23" s="11" t="s">
        <v>81</v>
      </c>
      <c r="S23" s="11" t="s">
        <v>81</v>
      </c>
      <c r="T23" s="11" t="s">
        <v>81</v>
      </c>
      <c r="U23" s="11"/>
      <c r="V23" s="11"/>
      <c r="W23" s="11" t="s">
        <v>561</v>
      </c>
      <c r="X23" s="11" t="s">
        <v>585</v>
      </c>
      <c r="Y23" s="11" t="s">
        <v>587</v>
      </c>
      <c r="Z23" s="11" t="s">
        <v>567</v>
      </c>
      <c r="AA23" s="11" t="s">
        <v>568</v>
      </c>
      <c r="AB23" s="11" t="s">
        <v>80</v>
      </c>
      <c r="AC23" s="11" t="s">
        <v>80</v>
      </c>
      <c r="AD23" s="11">
        <v>2025</v>
      </c>
      <c r="AE23" s="11">
        <v>2025</v>
      </c>
      <c r="AF23" s="11">
        <v>2025</v>
      </c>
      <c r="AG23" s="11">
        <v>2025</v>
      </c>
      <c r="AH23" s="11"/>
      <c r="AI23" s="11"/>
      <c r="AJ23" s="11"/>
      <c r="AK23" s="11"/>
      <c r="AL23" s="11"/>
    </row>
    <row r="24" spans="1:38" ht="14.25" customHeight="1">
      <c r="A24" s="11" t="s">
        <v>251</v>
      </c>
      <c r="B24" s="11" t="s">
        <v>457</v>
      </c>
      <c r="C24" s="11">
        <v>4</v>
      </c>
      <c r="D24" s="8">
        <v>22402</v>
      </c>
      <c r="E24" s="11" t="s">
        <v>551</v>
      </c>
      <c r="F24" s="11">
        <v>2</v>
      </c>
      <c r="G24" s="11">
        <v>6200</v>
      </c>
      <c r="H24" s="11">
        <v>1994</v>
      </c>
      <c r="I24" s="11" t="s">
        <v>549</v>
      </c>
      <c r="J24" s="11" t="s">
        <v>81</v>
      </c>
      <c r="K24" s="11" t="s">
        <v>541</v>
      </c>
      <c r="L24" s="11" t="s">
        <v>552</v>
      </c>
      <c r="M24" s="11" t="s">
        <v>81</v>
      </c>
      <c r="N24" s="11" t="s">
        <v>553</v>
      </c>
      <c r="O24" s="11" t="s">
        <v>544</v>
      </c>
      <c r="P24" s="11" t="s">
        <v>545</v>
      </c>
      <c r="Q24" s="11"/>
      <c r="R24" s="11" t="s">
        <v>81</v>
      </c>
      <c r="S24" s="11" t="s">
        <v>81</v>
      </c>
      <c r="T24" s="11" t="s">
        <v>81</v>
      </c>
      <c r="U24" s="11"/>
      <c r="V24" s="11"/>
      <c r="W24" s="11" t="s">
        <v>554</v>
      </c>
      <c r="X24" s="11" t="s">
        <v>569</v>
      </c>
      <c r="Y24" s="11">
        <v>120</v>
      </c>
      <c r="Z24" s="11" t="s">
        <v>567</v>
      </c>
      <c r="AA24" s="11" t="s">
        <v>547</v>
      </c>
      <c r="AB24" s="11" t="s">
        <v>81</v>
      </c>
      <c r="AC24" s="11" t="s">
        <v>80</v>
      </c>
      <c r="AD24" s="11">
        <v>2015</v>
      </c>
      <c r="AE24" s="11">
        <v>2016</v>
      </c>
      <c r="AF24" s="11">
        <v>2015</v>
      </c>
      <c r="AG24" s="11">
        <v>2017</v>
      </c>
      <c r="AH24" s="11"/>
      <c r="AI24" s="11"/>
      <c r="AJ24" s="11"/>
      <c r="AK24" s="11"/>
      <c r="AL24" s="11"/>
    </row>
    <row r="25" spans="1:38" ht="14.25" customHeight="1">
      <c r="A25" s="11" t="s">
        <v>251</v>
      </c>
      <c r="B25" s="11" t="s">
        <v>463</v>
      </c>
      <c r="C25" s="11">
        <v>5</v>
      </c>
      <c r="D25" s="8">
        <v>19151</v>
      </c>
      <c r="E25" s="11" t="s">
        <v>556</v>
      </c>
      <c r="F25" s="11">
        <v>3</v>
      </c>
      <c r="G25" s="11">
        <v>9500</v>
      </c>
      <c r="H25" s="11">
        <v>2017</v>
      </c>
      <c r="I25" s="11" t="s">
        <v>540</v>
      </c>
      <c r="J25" s="11" t="s">
        <v>81</v>
      </c>
      <c r="K25" s="11" t="s">
        <v>541</v>
      </c>
      <c r="L25" s="11" t="s">
        <v>557</v>
      </c>
      <c r="M25" s="11" t="s">
        <v>80</v>
      </c>
      <c r="N25" s="7" t="s">
        <v>543</v>
      </c>
      <c r="O25" s="11" t="s">
        <v>544</v>
      </c>
      <c r="P25" s="11" t="s">
        <v>545</v>
      </c>
      <c r="Q25" s="11"/>
      <c r="R25" s="11" t="s">
        <v>81</v>
      </c>
      <c r="S25" s="11" t="s">
        <v>81</v>
      </c>
      <c r="T25" s="11" t="s">
        <v>81</v>
      </c>
      <c r="U25" s="11"/>
      <c r="V25" s="11"/>
      <c r="W25" s="11" t="s">
        <v>572</v>
      </c>
      <c r="X25" s="11" t="s">
        <v>555</v>
      </c>
      <c r="Y25" s="11">
        <v>70</v>
      </c>
      <c r="Z25" s="11" t="s">
        <v>567</v>
      </c>
      <c r="AA25" s="11" t="s">
        <v>568</v>
      </c>
      <c r="AB25" s="11" t="s">
        <v>80</v>
      </c>
      <c r="AC25" s="11" t="s">
        <v>80</v>
      </c>
      <c r="AD25" s="11">
        <v>2023</v>
      </c>
      <c r="AE25" s="11">
        <v>2023</v>
      </c>
      <c r="AF25" s="11">
        <v>2023</v>
      </c>
      <c r="AG25" s="11">
        <v>2023</v>
      </c>
      <c r="AH25" s="11"/>
      <c r="AI25" s="11"/>
      <c r="AJ25" s="11"/>
      <c r="AK25" s="11"/>
      <c r="AL25" s="11"/>
    </row>
    <row r="26" spans="1:38" ht="14.25" customHeight="1">
      <c r="A26" s="11" t="s">
        <v>251</v>
      </c>
      <c r="B26" s="11" t="s">
        <v>466</v>
      </c>
      <c r="C26" s="11">
        <v>6</v>
      </c>
      <c r="D26" s="7">
        <v>25242</v>
      </c>
      <c r="E26" s="11" t="s">
        <v>558</v>
      </c>
      <c r="F26" s="11">
        <v>5</v>
      </c>
      <c r="G26" s="11">
        <v>11800</v>
      </c>
      <c r="H26" s="11">
        <v>2014</v>
      </c>
      <c r="I26" s="11" t="s">
        <v>559</v>
      </c>
      <c r="J26" s="11" t="s">
        <v>81</v>
      </c>
      <c r="K26" s="11" t="s">
        <v>541</v>
      </c>
      <c r="L26" s="11" t="s">
        <v>560</v>
      </c>
      <c r="M26" s="11" t="s">
        <v>80</v>
      </c>
      <c r="N26" s="7" t="s">
        <v>543</v>
      </c>
      <c r="O26" s="11" t="s">
        <v>544</v>
      </c>
      <c r="P26" s="11" t="s">
        <v>545</v>
      </c>
      <c r="Q26" s="11"/>
      <c r="R26" s="11" t="s">
        <v>81</v>
      </c>
      <c r="S26" s="11" t="s">
        <v>81</v>
      </c>
      <c r="T26" s="11" t="s">
        <v>81</v>
      </c>
      <c r="U26" s="11"/>
      <c r="V26" s="11"/>
      <c r="W26" s="11" t="s">
        <v>561</v>
      </c>
      <c r="X26" s="11" t="s">
        <v>562</v>
      </c>
      <c r="Y26" s="11">
        <v>60</v>
      </c>
      <c r="Z26" s="11" t="s">
        <v>567</v>
      </c>
      <c r="AA26" s="11" t="s">
        <v>568</v>
      </c>
      <c r="AB26" s="11" t="s">
        <v>80</v>
      </c>
      <c r="AC26" s="11" t="s">
        <v>80</v>
      </c>
      <c r="AD26" s="11">
        <v>2022</v>
      </c>
      <c r="AE26" s="11">
        <v>2022</v>
      </c>
      <c r="AF26" s="11">
        <v>2021</v>
      </c>
      <c r="AG26" s="11">
        <v>2022</v>
      </c>
      <c r="AH26" s="11"/>
      <c r="AI26" s="11"/>
      <c r="AJ26" s="11"/>
      <c r="AK26" s="11"/>
      <c r="AL26" s="11"/>
    </row>
    <row r="27" spans="1:38" ht="14.25" customHeight="1">
      <c r="A27" s="11" t="s">
        <v>280</v>
      </c>
      <c r="B27" s="11" t="s">
        <v>463</v>
      </c>
      <c r="C27" s="11">
        <v>1</v>
      </c>
      <c r="D27" s="20">
        <v>20105</v>
      </c>
      <c r="E27" s="11" t="s">
        <v>563</v>
      </c>
      <c r="F27" s="11">
        <v>2</v>
      </c>
      <c r="G27" s="11">
        <v>5600</v>
      </c>
      <c r="H27" s="11">
        <v>1998</v>
      </c>
      <c r="I27" s="11" t="s">
        <v>549</v>
      </c>
      <c r="J27" s="11" t="s">
        <v>81</v>
      </c>
      <c r="K27" s="11" t="s">
        <v>566</v>
      </c>
      <c r="L27" s="11" t="s">
        <v>564</v>
      </c>
      <c r="M27" s="11" t="s">
        <v>80</v>
      </c>
      <c r="N27" s="11" t="s">
        <v>553</v>
      </c>
      <c r="O27" s="11" t="s">
        <v>565</v>
      </c>
      <c r="P27" s="11" t="s">
        <v>545</v>
      </c>
      <c r="Q27" s="11"/>
      <c r="R27" s="11" t="s">
        <v>81</v>
      </c>
      <c r="S27" s="11" t="s">
        <v>81</v>
      </c>
      <c r="T27" s="11" t="s">
        <v>80</v>
      </c>
      <c r="U27" s="11" t="s">
        <v>81</v>
      </c>
      <c r="V27" s="11">
        <v>4</v>
      </c>
      <c r="W27" s="11"/>
      <c r="X27" s="11"/>
      <c r="Y27" s="11">
        <v>110</v>
      </c>
      <c r="Z27" s="11" t="s">
        <v>546</v>
      </c>
      <c r="AA27" s="11" t="s">
        <v>547</v>
      </c>
      <c r="AB27" s="11" t="s">
        <v>81</v>
      </c>
      <c r="AC27" s="11" t="s">
        <v>80</v>
      </c>
      <c r="AD27" s="11">
        <v>2016</v>
      </c>
      <c r="AE27" s="11">
        <v>2017</v>
      </c>
      <c r="AF27" s="11">
        <v>2017</v>
      </c>
      <c r="AG27" s="11">
        <v>2020</v>
      </c>
      <c r="AH27" s="11"/>
      <c r="AI27" s="11"/>
      <c r="AJ27" s="11"/>
      <c r="AK27" s="11"/>
      <c r="AL27" s="11"/>
    </row>
    <row r="28" spans="1:38" ht="14.25" customHeight="1">
      <c r="A28" s="11" t="s">
        <v>280</v>
      </c>
      <c r="B28" s="11" t="s">
        <v>466</v>
      </c>
      <c r="C28" s="11">
        <v>2</v>
      </c>
      <c r="D28" s="20">
        <v>20106</v>
      </c>
      <c r="E28" s="11" t="s">
        <v>164</v>
      </c>
      <c r="F28" s="11">
        <v>1</v>
      </c>
      <c r="G28" s="11">
        <v>5400</v>
      </c>
      <c r="H28" s="11">
        <v>2012</v>
      </c>
      <c r="I28" s="11" t="s">
        <v>549</v>
      </c>
      <c r="J28" s="11" t="s">
        <v>81</v>
      </c>
      <c r="K28" s="11" t="s">
        <v>566</v>
      </c>
      <c r="L28" s="11" t="s">
        <v>588</v>
      </c>
      <c r="M28" s="11" t="s">
        <v>80</v>
      </c>
      <c r="N28" s="11" t="s">
        <v>543</v>
      </c>
      <c r="O28" s="11" t="s">
        <v>544</v>
      </c>
      <c r="P28" s="11" t="s">
        <v>545</v>
      </c>
      <c r="Q28" s="11"/>
      <c r="R28" s="11" t="s">
        <v>81</v>
      </c>
      <c r="S28" s="11" t="s">
        <v>81</v>
      </c>
      <c r="T28" s="11" t="s">
        <v>81</v>
      </c>
      <c r="U28" s="11"/>
      <c r="V28" s="11"/>
      <c r="W28" s="11" t="s">
        <v>554</v>
      </c>
      <c r="X28" s="11" t="s">
        <v>569</v>
      </c>
      <c r="Y28" s="11">
        <v>70</v>
      </c>
      <c r="Z28" s="11" t="s">
        <v>567</v>
      </c>
      <c r="AA28" s="11" t="s">
        <v>547</v>
      </c>
      <c r="AB28" s="11" t="s">
        <v>80</v>
      </c>
      <c r="AC28" s="11" t="s">
        <v>80</v>
      </c>
      <c r="AD28" s="11">
        <v>2023</v>
      </c>
      <c r="AE28" s="11">
        <v>2022</v>
      </c>
      <c r="AF28" s="11">
        <v>2022</v>
      </c>
      <c r="AG28" s="11">
        <v>2023</v>
      </c>
      <c r="AH28" s="11"/>
      <c r="AI28" s="11"/>
      <c r="AJ28" s="11"/>
      <c r="AK28" s="11"/>
      <c r="AL28" s="11"/>
    </row>
    <row r="29" spans="1:38" ht="14.25" customHeight="1">
      <c r="A29" s="11" t="s">
        <v>280</v>
      </c>
      <c r="B29" s="11" t="s">
        <v>470</v>
      </c>
      <c r="C29" s="11">
        <v>3</v>
      </c>
      <c r="D29" s="20">
        <v>20107</v>
      </c>
      <c r="E29" s="11" t="s">
        <v>589</v>
      </c>
      <c r="F29" s="11">
        <v>2</v>
      </c>
      <c r="G29" s="11">
        <v>9800</v>
      </c>
      <c r="H29" s="11">
        <v>2003</v>
      </c>
      <c r="I29" s="11" t="s">
        <v>575</v>
      </c>
      <c r="J29" s="11" t="s">
        <v>81</v>
      </c>
      <c r="K29" s="11" t="s">
        <v>566</v>
      </c>
      <c r="L29" s="11" t="s">
        <v>557</v>
      </c>
      <c r="M29" s="11" t="s">
        <v>80</v>
      </c>
      <c r="N29" s="7" t="s">
        <v>543</v>
      </c>
      <c r="O29" s="11" t="s">
        <v>565</v>
      </c>
      <c r="P29" s="11" t="s">
        <v>545</v>
      </c>
      <c r="Q29" s="11"/>
      <c r="R29" s="11" t="s">
        <v>81</v>
      </c>
      <c r="S29" s="11" t="s">
        <v>81</v>
      </c>
      <c r="T29" s="11" t="s">
        <v>80</v>
      </c>
      <c r="U29" s="11" t="s">
        <v>81</v>
      </c>
      <c r="V29" s="11">
        <v>23</v>
      </c>
      <c r="W29" s="11"/>
      <c r="X29" s="11"/>
      <c r="Y29" s="11">
        <v>90</v>
      </c>
      <c r="Z29" s="11" t="s">
        <v>567</v>
      </c>
      <c r="AA29" s="11" t="s">
        <v>547</v>
      </c>
      <c r="AB29" s="11" t="s">
        <v>80</v>
      </c>
      <c r="AC29" s="11" t="s">
        <v>80</v>
      </c>
      <c r="AD29" s="11">
        <v>2024</v>
      </c>
      <c r="AE29" s="11">
        <v>2024</v>
      </c>
      <c r="AF29" s="11">
        <v>2023</v>
      </c>
      <c r="AG29" s="11">
        <v>2024</v>
      </c>
      <c r="AH29" s="11"/>
      <c r="AI29" s="11"/>
      <c r="AJ29" s="11"/>
      <c r="AK29" s="11"/>
      <c r="AL29" s="11"/>
    </row>
    <row r="30" spans="1:38" ht="14.25" customHeight="1">
      <c r="A30" s="11" t="s">
        <v>280</v>
      </c>
      <c r="B30" s="11" t="s">
        <v>474</v>
      </c>
      <c r="C30" s="11">
        <v>4</v>
      </c>
      <c r="D30" s="20">
        <v>20108</v>
      </c>
      <c r="E30" s="11" t="s">
        <v>590</v>
      </c>
      <c r="F30" s="11">
        <v>2</v>
      </c>
      <c r="G30" s="11">
        <v>18000</v>
      </c>
      <c r="H30" s="11">
        <v>2009</v>
      </c>
      <c r="I30" s="11" t="s">
        <v>575</v>
      </c>
      <c r="J30" s="11" t="s">
        <v>81</v>
      </c>
      <c r="K30" s="11" t="s">
        <v>566</v>
      </c>
      <c r="L30" s="11" t="s">
        <v>591</v>
      </c>
      <c r="M30" s="11" t="s">
        <v>80</v>
      </c>
      <c r="N30" s="7" t="s">
        <v>543</v>
      </c>
      <c r="O30" s="11" t="s">
        <v>544</v>
      </c>
      <c r="P30" s="11" t="s">
        <v>545</v>
      </c>
      <c r="Q30" s="11"/>
      <c r="R30" s="11" t="s">
        <v>81</v>
      </c>
      <c r="S30" s="11" t="s">
        <v>81</v>
      </c>
      <c r="T30" s="11" t="s">
        <v>81</v>
      </c>
      <c r="U30" s="11"/>
      <c r="V30" s="11"/>
      <c r="W30" s="11" t="s">
        <v>554</v>
      </c>
      <c r="X30" s="11" t="s">
        <v>569</v>
      </c>
      <c r="Y30" s="11">
        <v>40</v>
      </c>
      <c r="Z30" s="11" t="s">
        <v>567</v>
      </c>
      <c r="AA30" s="11" t="s">
        <v>568</v>
      </c>
      <c r="AB30" s="11" t="s">
        <v>80</v>
      </c>
      <c r="AC30" s="11" t="s">
        <v>80</v>
      </c>
      <c r="AD30" s="11">
        <v>2025</v>
      </c>
      <c r="AE30" s="11">
        <v>2025</v>
      </c>
      <c r="AF30" s="11">
        <v>2025</v>
      </c>
      <c r="AG30" s="11">
        <v>2025</v>
      </c>
      <c r="AH30" s="11"/>
      <c r="AI30" s="11"/>
      <c r="AJ30" s="11"/>
      <c r="AK30" s="11"/>
      <c r="AL30" s="11"/>
    </row>
    <row r="31" spans="1:38" ht="14.25" customHeight="1">
      <c r="A31" s="11" t="s">
        <v>280</v>
      </c>
      <c r="B31" s="11" t="s">
        <v>478</v>
      </c>
      <c r="C31" s="11">
        <v>5</v>
      </c>
      <c r="D31" s="20">
        <v>20109</v>
      </c>
      <c r="E31" s="11" t="s">
        <v>592</v>
      </c>
      <c r="F31" s="11">
        <v>2</v>
      </c>
      <c r="G31" s="11">
        <v>3900</v>
      </c>
      <c r="H31" s="11">
        <v>2004</v>
      </c>
      <c r="I31" s="11" t="s">
        <v>549</v>
      </c>
      <c r="J31" s="11" t="s">
        <v>81</v>
      </c>
      <c r="K31" s="11" t="s">
        <v>566</v>
      </c>
      <c r="L31" s="11" t="s">
        <v>593</v>
      </c>
      <c r="M31" s="11" t="s">
        <v>80</v>
      </c>
      <c r="N31" s="7" t="s">
        <v>543</v>
      </c>
      <c r="O31" s="11" t="s">
        <v>565</v>
      </c>
      <c r="P31" s="11" t="s">
        <v>545</v>
      </c>
      <c r="Q31" s="11"/>
      <c r="R31" s="11" t="s">
        <v>81</v>
      </c>
      <c r="S31" s="11" t="s">
        <v>81</v>
      </c>
      <c r="T31" s="11" t="s">
        <v>81</v>
      </c>
      <c r="U31" s="11"/>
      <c r="V31" s="11"/>
      <c r="W31" s="11" t="s">
        <v>554</v>
      </c>
      <c r="X31" s="11" t="s">
        <v>569</v>
      </c>
      <c r="Y31" s="11">
        <v>120</v>
      </c>
      <c r="Z31" s="11" t="s">
        <v>567</v>
      </c>
      <c r="AA31" s="11" t="s">
        <v>547</v>
      </c>
      <c r="AB31" s="11" t="s">
        <v>81</v>
      </c>
      <c r="AC31" s="11" t="s">
        <v>80</v>
      </c>
      <c r="AD31" s="11">
        <v>2015</v>
      </c>
      <c r="AE31" s="11">
        <v>2016</v>
      </c>
      <c r="AF31" s="11">
        <v>2015</v>
      </c>
      <c r="AG31" s="11">
        <v>2017</v>
      </c>
      <c r="AH31" s="11"/>
      <c r="AI31" s="11"/>
      <c r="AJ31" s="11"/>
      <c r="AK31" s="11"/>
      <c r="AL31" s="11"/>
    </row>
    <row r="32" spans="1:38" ht="14.25" customHeight="1">
      <c r="A32" s="11" t="s">
        <v>280</v>
      </c>
      <c r="B32" s="11" t="s">
        <v>480</v>
      </c>
      <c r="C32" s="11">
        <v>6</v>
      </c>
      <c r="D32" s="20">
        <v>20110</v>
      </c>
      <c r="E32" s="11" t="s">
        <v>594</v>
      </c>
      <c r="F32" s="11">
        <v>1</v>
      </c>
      <c r="G32" s="11">
        <v>35600</v>
      </c>
      <c r="H32" s="11">
        <v>2016</v>
      </c>
      <c r="I32" s="11" t="s">
        <v>540</v>
      </c>
      <c r="J32" s="11" t="s">
        <v>81</v>
      </c>
      <c r="K32" s="11" t="s">
        <v>566</v>
      </c>
      <c r="L32" s="11" t="s">
        <v>595</v>
      </c>
      <c r="M32" s="11" t="s">
        <v>80</v>
      </c>
      <c r="N32" s="7" t="s">
        <v>543</v>
      </c>
      <c r="O32" s="11" t="s">
        <v>596</v>
      </c>
      <c r="P32" s="11" t="s">
        <v>545</v>
      </c>
      <c r="Q32" s="11"/>
      <c r="R32" s="11" t="s">
        <v>81</v>
      </c>
      <c r="S32" s="11" t="s">
        <v>81</v>
      </c>
      <c r="T32" s="11" t="s">
        <v>80</v>
      </c>
      <c r="U32" s="11" t="s">
        <v>81</v>
      </c>
      <c r="V32" s="11">
        <v>12</v>
      </c>
      <c r="W32" s="11"/>
      <c r="X32" s="11"/>
      <c r="Y32" s="11">
        <v>70</v>
      </c>
      <c r="Z32" s="11" t="s">
        <v>567</v>
      </c>
      <c r="AA32" s="11" t="s">
        <v>568</v>
      </c>
      <c r="AB32" s="11" t="s">
        <v>80</v>
      </c>
      <c r="AC32" s="11" t="s">
        <v>80</v>
      </c>
      <c r="AD32" s="11">
        <v>2023</v>
      </c>
      <c r="AE32" s="11">
        <v>2023</v>
      </c>
      <c r="AF32" s="11">
        <v>2023</v>
      </c>
      <c r="AG32" s="11">
        <v>2023</v>
      </c>
      <c r="AH32" s="11"/>
      <c r="AI32" s="11"/>
      <c r="AJ32" s="11"/>
      <c r="AK32" s="11"/>
      <c r="AL32" s="11"/>
    </row>
    <row r="33" spans="1:38" ht="14.25" customHeight="1">
      <c r="A33" s="11" t="s">
        <v>309</v>
      </c>
      <c r="B33" s="11" t="s">
        <v>470</v>
      </c>
      <c r="C33" s="11">
        <v>1</v>
      </c>
      <c r="D33" s="20">
        <v>19707</v>
      </c>
      <c r="E33" s="11" t="s">
        <v>590</v>
      </c>
      <c r="F33" s="11">
        <v>2</v>
      </c>
      <c r="G33" s="11">
        <v>18000</v>
      </c>
      <c r="H33" s="11">
        <v>2009</v>
      </c>
      <c r="I33" s="11" t="s">
        <v>575</v>
      </c>
      <c r="J33" s="11" t="s">
        <v>81</v>
      </c>
      <c r="K33" s="11" t="s">
        <v>566</v>
      </c>
      <c r="L33" s="11" t="s">
        <v>591</v>
      </c>
      <c r="M33" s="11" t="s">
        <v>80</v>
      </c>
      <c r="N33" s="7" t="s">
        <v>543</v>
      </c>
      <c r="O33" s="11" t="s">
        <v>544</v>
      </c>
      <c r="P33" s="11" t="s">
        <v>545</v>
      </c>
      <c r="Q33" s="11"/>
      <c r="R33" s="11" t="s">
        <v>81</v>
      </c>
      <c r="S33" s="11" t="s">
        <v>81</v>
      </c>
      <c r="T33" s="11" t="s">
        <v>81</v>
      </c>
      <c r="U33" s="11"/>
      <c r="V33" s="11"/>
      <c r="W33" s="11" t="s">
        <v>561</v>
      </c>
      <c r="X33" s="11" t="s">
        <v>585</v>
      </c>
      <c r="Y33" s="11">
        <v>85</v>
      </c>
      <c r="Z33" s="11" t="s">
        <v>567</v>
      </c>
      <c r="AA33" s="11" t="s">
        <v>568</v>
      </c>
      <c r="AB33" s="11" t="s">
        <v>80</v>
      </c>
      <c r="AC33" s="11" t="s">
        <v>80</v>
      </c>
      <c r="AD33" s="11">
        <v>2019</v>
      </c>
      <c r="AE33" s="11">
        <v>2019</v>
      </c>
      <c r="AF33" s="11">
        <v>2018</v>
      </c>
      <c r="AG33" s="11">
        <v>2020</v>
      </c>
      <c r="AH33" s="11"/>
      <c r="AI33" s="11"/>
      <c r="AJ33" s="11"/>
      <c r="AK33" s="11"/>
      <c r="AL33" s="11"/>
    </row>
    <row r="34" spans="1:38" ht="14.25" customHeight="1">
      <c r="A34" s="11" t="s">
        <v>309</v>
      </c>
      <c r="B34" s="11" t="s">
        <v>474</v>
      </c>
      <c r="C34" s="11">
        <v>2</v>
      </c>
      <c r="D34" s="20">
        <v>19708</v>
      </c>
      <c r="E34" s="11" t="s">
        <v>592</v>
      </c>
      <c r="F34" s="11">
        <v>2</v>
      </c>
      <c r="G34" s="11">
        <v>3900</v>
      </c>
      <c r="H34" s="11">
        <v>2004</v>
      </c>
      <c r="I34" s="11" t="s">
        <v>549</v>
      </c>
      <c r="J34" s="11" t="s">
        <v>81</v>
      </c>
      <c r="K34" s="11" t="s">
        <v>566</v>
      </c>
      <c r="L34" s="11" t="s">
        <v>593</v>
      </c>
      <c r="M34" s="11" t="s">
        <v>80</v>
      </c>
      <c r="N34" s="7" t="s">
        <v>543</v>
      </c>
      <c r="O34" s="11" t="s">
        <v>565</v>
      </c>
      <c r="P34" s="11" t="s">
        <v>545</v>
      </c>
      <c r="Q34" s="11"/>
      <c r="R34" s="11" t="s">
        <v>81</v>
      </c>
      <c r="S34" s="11" t="s">
        <v>81</v>
      </c>
      <c r="T34" s="11" t="s">
        <v>81</v>
      </c>
      <c r="U34" s="11"/>
      <c r="V34" s="11"/>
      <c r="W34" s="11" t="s">
        <v>561</v>
      </c>
      <c r="X34" s="11" t="s">
        <v>585</v>
      </c>
      <c r="Y34" s="11">
        <v>70</v>
      </c>
      <c r="Z34" s="11" t="s">
        <v>567</v>
      </c>
      <c r="AA34" s="11" t="s">
        <v>547</v>
      </c>
      <c r="AB34" s="11" t="s">
        <v>80</v>
      </c>
      <c r="AC34" s="11" t="s">
        <v>80</v>
      </c>
      <c r="AD34" s="11">
        <v>2023</v>
      </c>
      <c r="AE34" s="11">
        <v>2022</v>
      </c>
      <c r="AF34" s="11">
        <v>2022</v>
      </c>
      <c r="AG34" s="11">
        <v>2023</v>
      </c>
      <c r="AH34" s="11"/>
      <c r="AI34" s="11"/>
      <c r="AJ34" s="11"/>
      <c r="AK34" s="11"/>
      <c r="AL34" s="11"/>
    </row>
    <row r="35" spans="1:38" ht="14.25" customHeight="1">
      <c r="A35" s="11" t="s">
        <v>309</v>
      </c>
      <c r="B35" s="11" t="s">
        <v>478</v>
      </c>
      <c r="C35" s="11">
        <v>3</v>
      </c>
      <c r="D35" s="20">
        <v>19709</v>
      </c>
      <c r="E35" s="11" t="s">
        <v>594</v>
      </c>
      <c r="F35" s="11">
        <v>1</v>
      </c>
      <c r="G35" s="11">
        <v>35600</v>
      </c>
      <c r="H35" s="11">
        <v>2016</v>
      </c>
      <c r="I35" s="11" t="s">
        <v>540</v>
      </c>
      <c r="J35" s="11" t="s">
        <v>81</v>
      </c>
      <c r="K35" s="11" t="s">
        <v>566</v>
      </c>
      <c r="L35" s="11" t="s">
        <v>595</v>
      </c>
      <c r="M35" s="11" t="s">
        <v>80</v>
      </c>
      <c r="N35" s="7" t="s">
        <v>543</v>
      </c>
      <c r="O35" s="11" t="s">
        <v>596</v>
      </c>
      <c r="P35" s="11" t="s">
        <v>545</v>
      </c>
      <c r="Q35" s="11"/>
      <c r="R35" s="11" t="s">
        <v>81</v>
      </c>
      <c r="S35" s="11" t="s">
        <v>81</v>
      </c>
      <c r="T35" s="11" t="s">
        <v>80</v>
      </c>
      <c r="U35" s="11" t="s">
        <v>81</v>
      </c>
      <c r="V35" s="11">
        <v>52</v>
      </c>
      <c r="W35" s="11"/>
      <c r="X35" s="11"/>
      <c r="Y35" s="11">
        <v>90</v>
      </c>
      <c r="Z35" s="11" t="s">
        <v>567</v>
      </c>
      <c r="AA35" s="11" t="s">
        <v>547</v>
      </c>
      <c r="AB35" s="11" t="s">
        <v>80</v>
      </c>
      <c r="AC35" s="11" t="s">
        <v>80</v>
      </c>
      <c r="AD35" s="11">
        <v>2024</v>
      </c>
      <c r="AE35" s="11">
        <v>2024</v>
      </c>
      <c r="AF35" s="11">
        <v>2023</v>
      </c>
      <c r="AG35" s="11">
        <v>2024</v>
      </c>
      <c r="AH35" s="11"/>
      <c r="AI35" s="11"/>
      <c r="AJ35" s="11"/>
      <c r="AK35" s="11"/>
      <c r="AL35" s="11"/>
    </row>
    <row r="36" spans="1:38" ht="14.25" customHeight="1">
      <c r="A36" s="11" t="s">
        <v>309</v>
      </c>
      <c r="B36" s="11" t="s">
        <v>480</v>
      </c>
      <c r="C36" s="11">
        <v>4</v>
      </c>
      <c r="D36" s="20">
        <v>19710</v>
      </c>
      <c r="E36" s="11" t="s">
        <v>594</v>
      </c>
      <c r="F36" s="11">
        <v>1</v>
      </c>
      <c r="G36" s="11">
        <v>35600</v>
      </c>
      <c r="H36" s="11">
        <v>2016</v>
      </c>
      <c r="I36" s="11" t="s">
        <v>540</v>
      </c>
      <c r="J36" s="11" t="s">
        <v>81</v>
      </c>
      <c r="K36" s="11" t="s">
        <v>566</v>
      </c>
      <c r="L36" s="11" t="s">
        <v>595</v>
      </c>
      <c r="M36" s="11" t="s">
        <v>80</v>
      </c>
      <c r="N36" s="7" t="s">
        <v>543</v>
      </c>
      <c r="O36" s="11" t="s">
        <v>544</v>
      </c>
      <c r="P36" s="11" t="s">
        <v>545</v>
      </c>
      <c r="Q36" s="11"/>
      <c r="R36" s="11" t="s">
        <v>81</v>
      </c>
      <c r="S36" s="11" t="s">
        <v>81</v>
      </c>
      <c r="T36" s="11" t="s">
        <v>81</v>
      </c>
      <c r="U36" s="11"/>
      <c r="V36" s="11"/>
      <c r="W36" s="11" t="s">
        <v>561</v>
      </c>
      <c r="X36" s="11" t="s">
        <v>585</v>
      </c>
      <c r="Y36" s="11">
        <v>40</v>
      </c>
      <c r="Z36" s="11" t="s">
        <v>567</v>
      </c>
      <c r="AA36" s="11" t="s">
        <v>568</v>
      </c>
      <c r="AB36" s="11" t="s">
        <v>80</v>
      </c>
      <c r="AC36" s="11" t="s">
        <v>80</v>
      </c>
      <c r="AD36" s="11">
        <v>2025</v>
      </c>
      <c r="AE36" s="11">
        <v>2025</v>
      </c>
      <c r="AF36" s="11">
        <v>2025</v>
      </c>
      <c r="AG36" s="11">
        <v>2025</v>
      </c>
      <c r="AH36" s="11"/>
      <c r="AI36" s="11"/>
      <c r="AJ36" s="11"/>
      <c r="AK36" s="11"/>
      <c r="AL36" s="11"/>
    </row>
    <row r="37" spans="1:38" ht="14.25" customHeight="1">
      <c r="A37" s="11" t="s">
        <v>309</v>
      </c>
      <c r="B37" s="11" t="s">
        <v>486</v>
      </c>
      <c r="C37" s="11">
        <v>5</v>
      </c>
      <c r="D37" s="20">
        <v>19711</v>
      </c>
      <c r="E37" s="11" t="s">
        <v>597</v>
      </c>
      <c r="F37" s="11">
        <v>3</v>
      </c>
      <c r="G37" s="11">
        <v>7100</v>
      </c>
      <c r="H37" s="11">
        <v>2007</v>
      </c>
      <c r="I37" s="11" t="s">
        <v>598</v>
      </c>
      <c r="J37" s="11" t="s">
        <v>81</v>
      </c>
      <c r="K37" s="11" t="s">
        <v>566</v>
      </c>
      <c r="L37" s="11" t="s">
        <v>599</v>
      </c>
      <c r="M37" s="11" t="s">
        <v>80</v>
      </c>
      <c r="N37" s="7" t="s">
        <v>543</v>
      </c>
      <c r="O37" s="11" t="s">
        <v>565</v>
      </c>
      <c r="P37" s="11" t="s">
        <v>545</v>
      </c>
      <c r="Q37" s="11"/>
      <c r="R37" s="11" t="s">
        <v>81</v>
      </c>
      <c r="S37" s="11" t="s">
        <v>81</v>
      </c>
      <c r="T37" s="11" t="s">
        <v>80</v>
      </c>
      <c r="U37" s="11" t="s">
        <v>81</v>
      </c>
      <c r="V37" s="11">
        <v>23</v>
      </c>
      <c r="W37" s="11"/>
      <c r="X37" s="11"/>
      <c r="Y37" s="11">
        <v>120</v>
      </c>
      <c r="Z37" s="11" t="s">
        <v>567</v>
      </c>
      <c r="AA37" s="11" t="s">
        <v>547</v>
      </c>
      <c r="AB37" s="11" t="s">
        <v>81</v>
      </c>
      <c r="AC37" s="11" t="s">
        <v>80</v>
      </c>
      <c r="AD37" s="11">
        <v>2015</v>
      </c>
      <c r="AE37" s="11">
        <v>2016</v>
      </c>
      <c r="AF37" s="11">
        <v>2015</v>
      </c>
      <c r="AG37" s="11">
        <v>2017</v>
      </c>
      <c r="AH37" s="11"/>
      <c r="AI37" s="11"/>
      <c r="AJ37" s="11"/>
      <c r="AK37" s="11"/>
      <c r="AL37" s="11"/>
    </row>
    <row r="38" spans="1:38" ht="14.25" customHeight="1">
      <c r="A38" s="11" t="s">
        <v>339</v>
      </c>
      <c r="B38" s="11" t="s">
        <v>490</v>
      </c>
      <c r="C38" s="11">
        <v>1</v>
      </c>
      <c r="D38" s="20">
        <v>20616</v>
      </c>
      <c r="E38" s="11" t="s">
        <v>570</v>
      </c>
      <c r="F38" s="11">
        <v>6</v>
      </c>
      <c r="G38" s="11">
        <v>14500</v>
      </c>
      <c r="H38" s="11">
        <v>2016</v>
      </c>
      <c r="I38" s="11" t="s">
        <v>540</v>
      </c>
      <c r="J38" s="11" t="s">
        <v>81</v>
      </c>
      <c r="K38" s="11" t="s">
        <v>566</v>
      </c>
      <c r="L38" s="11" t="s">
        <v>600</v>
      </c>
      <c r="M38" s="11" t="s">
        <v>80</v>
      </c>
      <c r="N38" s="7" t="s">
        <v>543</v>
      </c>
      <c r="O38" s="11" t="s">
        <v>565</v>
      </c>
      <c r="P38" s="11" t="s">
        <v>545</v>
      </c>
      <c r="Q38" s="11"/>
      <c r="R38" s="11" t="s">
        <v>81</v>
      </c>
      <c r="S38" s="11" t="s">
        <v>81</v>
      </c>
      <c r="T38" s="11" t="s">
        <v>81</v>
      </c>
      <c r="U38" s="11"/>
      <c r="V38" s="11">
        <v>5</v>
      </c>
      <c r="W38" s="11" t="s">
        <v>561</v>
      </c>
      <c r="X38" s="11" t="s">
        <v>601</v>
      </c>
      <c r="Y38" s="11">
        <v>60</v>
      </c>
      <c r="Z38" s="11" t="s">
        <v>567</v>
      </c>
      <c r="AA38" s="11" t="s">
        <v>568</v>
      </c>
      <c r="AB38" s="11" t="s">
        <v>80</v>
      </c>
      <c r="AC38" s="11" t="s">
        <v>80</v>
      </c>
      <c r="AD38" s="11">
        <v>2022</v>
      </c>
      <c r="AE38" s="11">
        <v>2022</v>
      </c>
      <c r="AF38" s="11">
        <v>2021</v>
      </c>
      <c r="AG38" s="11">
        <v>2022</v>
      </c>
      <c r="AH38" s="11"/>
      <c r="AI38" s="11"/>
      <c r="AJ38" s="11"/>
      <c r="AK38" s="11"/>
      <c r="AL38" s="11"/>
    </row>
    <row r="39" spans="1:38" ht="14.25" customHeight="1">
      <c r="A39" s="11" t="s">
        <v>339</v>
      </c>
      <c r="B39" s="11" t="s">
        <v>490</v>
      </c>
      <c r="C39" s="11">
        <v>2</v>
      </c>
      <c r="D39" s="20">
        <v>20617</v>
      </c>
      <c r="E39" s="11" t="s">
        <v>558</v>
      </c>
      <c r="F39" s="11">
        <v>5</v>
      </c>
      <c r="G39" s="11">
        <v>11800</v>
      </c>
      <c r="H39" s="11">
        <v>2014</v>
      </c>
      <c r="I39" s="11" t="s">
        <v>559</v>
      </c>
      <c r="J39" s="11" t="s">
        <v>81</v>
      </c>
      <c r="K39" s="11" t="s">
        <v>566</v>
      </c>
      <c r="L39" s="11" t="s">
        <v>560</v>
      </c>
      <c r="M39" s="11" t="s">
        <v>80</v>
      </c>
      <c r="N39" s="7" t="s">
        <v>543</v>
      </c>
      <c r="O39" s="11" t="s">
        <v>544</v>
      </c>
      <c r="P39" s="11" t="s">
        <v>545</v>
      </c>
      <c r="Q39" s="11"/>
      <c r="R39" s="11" t="s">
        <v>81</v>
      </c>
      <c r="S39" s="11" t="s">
        <v>81</v>
      </c>
      <c r="T39" s="11" t="s">
        <v>80</v>
      </c>
      <c r="U39" s="11" t="s">
        <v>81</v>
      </c>
      <c r="V39" s="11">
        <v>9</v>
      </c>
      <c r="W39" s="11"/>
      <c r="X39" s="11"/>
      <c r="Y39" s="11">
        <v>110</v>
      </c>
      <c r="Z39" s="11" t="s">
        <v>546</v>
      </c>
      <c r="AA39" s="11" t="s">
        <v>547</v>
      </c>
      <c r="AB39" s="11" t="s">
        <v>81</v>
      </c>
      <c r="AC39" s="11" t="s">
        <v>80</v>
      </c>
      <c r="AD39" s="11">
        <v>2016</v>
      </c>
      <c r="AE39" s="11">
        <v>2017</v>
      </c>
      <c r="AF39" s="11">
        <v>2017</v>
      </c>
      <c r="AG39" s="11">
        <v>2020</v>
      </c>
      <c r="AH39" s="11"/>
      <c r="AI39" s="11"/>
      <c r="AJ39" s="11"/>
      <c r="AK39" s="11"/>
      <c r="AL39" s="11"/>
    </row>
    <row r="40" spans="1:38" ht="14.25" customHeight="1">
      <c r="A40" s="11" t="s">
        <v>369</v>
      </c>
      <c r="B40" s="11" t="s">
        <v>495</v>
      </c>
      <c r="C40" s="11">
        <v>1</v>
      </c>
      <c r="D40" s="7">
        <v>26505</v>
      </c>
      <c r="E40" s="11" t="s">
        <v>243</v>
      </c>
      <c r="F40" s="11">
        <v>1</v>
      </c>
      <c r="G40" s="11">
        <v>41000</v>
      </c>
      <c r="H40" s="11">
        <v>2013</v>
      </c>
      <c r="I40" s="11" t="s">
        <v>540</v>
      </c>
      <c r="J40" s="11" t="s">
        <v>81</v>
      </c>
      <c r="K40" s="11" t="s">
        <v>566</v>
      </c>
      <c r="L40" s="11" t="s">
        <v>602</v>
      </c>
      <c r="M40" s="11" t="s">
        <v>80</v>
      </c>
      <c r="N40" s="7" t="s">
        <v>543</v>
      </c>
      <c r="O40" s="11" t="s">
        <v>544</v>
      </c>
      <c r="P40" s="11" t="s">
        <v>545</v>
      </c>
      <c r="Q40" s="11"/>
      <c r="R40" s="11" t="s">
        <v>81</v>
      </c>
      <c r="S40" s="11" t="s">
        <v>81</v>
      </c>
      <c r="T40" s="11" t="s">
        <v>81</v>
      </c>
      <c r="U40" s="11"/>
      <c r="V40" s="11"/>
      <c r="W40" s="11" t="s">
        <v>561</v>
      </c>
      <c r="X40" s="11" t="s">
        <v>601</v>
      </c>
      <c r="Y40" s="11">
        <v>300</v>
      </c>
      <c r="Z40" s="11" t="s">
        <v>567</v>
      </c>
      <c r="AA40" s="11" t="s">
        <v>547</v>
      </c>
      <c r="AB40" s="11" t="s">
        <v>80</v>
      </c>
      <c r="AC40" s="11" t="s">
        <v>80</v>
      </c>
      <c r="AD40" s="11">
        <v>2022</v>
      </c>
      <c r="AE40" s="11">
        <v>2022</v>
      </c>
      <c r="AF40" s="11">
        <v>2021</v>
      </c>
      <c r="AG40" s="11">
        <v>2022</v>
      </c>
      <c r="AH40" s="11"/>
      <c r="AI40" s="11"/>
      <c r="AJ40" s="11"/>
      <c r="AK40" s="11"/>
      <c r="AL40" s="11"/>
    </row>
    <row r="41" spans="1:38" ht="14.25" customHeight="1">
      <c r="A41" s="11" t="s">
        <v>369</v>
      </c>
      <c r="B41" s="11" t="s">
        <v>497</v>
      </c>
      <c r="C41" s="11">
        <v>2</v>
      </c>
      <c r="D41" s="8">
        <v>22469</v>
      </c>
      <c r="E41" s="11" t="s">
        <v>558</v>
      </c>
      <c r="F41" s="11">
        <v>5</v>
      </c>
      <c r="G41" s="11">
        <v>11800</v>
      </c>
      <c r="H41" s="11">
        <v>2014</v>
      </c>
      <c r="I41" s="11" t="s">
        <v>559</v>
      </c>
      <c r="J41" s="11" t="s">
        <v>81</v>
      </c>
      <c r="K41" s="11" t="s">
        <v>566</v>
      </c>
      <c r="L41" s="11" t="s">
        <v>560</v>
      </c>
      <c r="M41" s="11" t="s">
        <v>80</v>
      </c>
      <c r="N41" s="7" t="s">
        <v>543</v>
      </c>
      <c r="O41" s="11" t="s">
        <v>544</v>
      </c>
      <c r="P41" s="11" t="s">
        <v>545</v>
      </c>
      <c r="Q41" s="11"/>
      <c r="R41" s="11" t="s">
        <v>81</v>
      </c>
      <c r="S41" s="11" t="s">
        <v>81</v>
      </c>
      <c r="T41" s="11" t="s">
        <v>81</v>
      </c>
      <c r="U41" s="11"/>
      <c r="V41" s="11"/>
      <c r="W41" s="11" t="s">
        <v>554</v>
      </c>
      <c r="X41" s="11" t="s">
        <v>569</v>
      </c>
      <c r="Y41" s="11">
        <v>70</v>
      </c>
      <c r="Z41" s="11" t="s">
        <v>567</v>
      </c>
      <c r="AA41" s="11" t="s">
        <v>547</v>
      </c>
      <c r="AB41" s="11" t="s">
        <v>80</v>
      </c>
      <c r="AC41" s="11" t="s">
        <v>80</v>
      </c>
      <c r="AD41" s="11">
        <v>2023</v>
      </c>
      <c r="AE41" s="11">
        <v>2022</v>
      </c>
      <c r="AF41" s="11">
        <v>2022</v>
      </c>
      <c r="AG41" s="11">
        <v>2023</v>
      </c>
      <c r="AH41" s="11"/>
      <c r="AI41" s="11"/>
      <c r="AJ41" s="11"/>
      <c r="AK41" s="11"/>
      <c r="AL41" s="11"/>
    </row>
    <row r="42" spans="1:38" ht="1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7"/>
    </row>
    <row r="43" spans="1:38" ht="1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1"/>
    </row>
    <row r="44" spans="1:38" ht="1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7"/>
    </row>
    <row r="45" spans="1:38" ht="1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7"/>
    </row>
    <row r="46" spans="1:38" ht="1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1"/>
    </row>
    <row r="47" spans="1:38" ht="1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7"/>
    </row>
    <row r="48" spans="1:38" ht="1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7"/>
    </row>
    <row r="49" spans="1:35" ht="1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7"/>
    </row>
    <row r="50" spans="1:35" ht="1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7"/>
    </row>
    <row r="51" spans="1:35" ht="1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7"/>
    </row>
    <row r="52" spans="1:35" ht="1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7"/>
    </row>
    <row r="53" spans="1:35" ht="1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7"/>
    </row>
    <row r="54" spans="1:35" ht="1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7"/>
    </row>
    <row r="55" spans="1:35" ht="1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7"/>
    </row>
    <row r="56" spans="1:35" ht="1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1"/>
    </row>
    <row r="57" spans="1:35" ht="1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1"/>
    </row>
    <row r="58" spans="1:35" ht="1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7"/>
    </row>
    <row r="59" spans="1:35" ht="1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7"/>
    </row>
    <row r="60" spans="1:35" ht="1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1"/>
    </row>
    <row r="61" spans="1:35" ht="1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7"/>
    </row>
    <row r="62" spans="1:35" ht="1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7"/>
    </row>
    <row r="63" spans="1:35" ht="1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1"/>
    </row>
    <row r="64" spans="1:35" ht="1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7"/>
    </row>
    <row r="65" spans="1:35" ht="1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1"/>
    </row>
    <row r="66" spans="1:35" ht="1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7"/>
    </row>
    <row r="67" spans="1:35" ht="1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7"/>
    </row>
    <row r="68" spans="1:35" ht="1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1"/>
    </row>
    <row r="69" spans="1:35" ht="1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7"/>
    </row>
    <row r="70" spans="1:35" ht="1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7"/>
    </row>
    <row r="71" spans="1:35" ht="1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7"/>
    </row>
    <row r="72" spans="1:35" ht="1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7"/>
    </row>
    <row r="73" spans="1:35" ht="1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7"/>
    </row>
    <row r="74" spans="1:35" ht="1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7"/>
    </row>
    <row r="75" spans="1:35" ht="1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1"/>
    </row>
    <row r="76" spans="1:35" ht="1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7"/>
    </row>
    <row r="77" spans="1:35" ht="1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7"/>
    </row>
    <row r="78" spans="1:35" ht="1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7"/>
    </row>
    <row r="79" spans="1:35" ht="1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1"/>
    </row>
    <row r="80" spans="1:35" ht="1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7"/>
    </row>
    <row r="81" spans="1:35" ht="1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7"/>
    </row>
    <row r="82" spans="1:35" ht="1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7"/>
    </row>
    <row r="83" spans="1:35" ht="1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7"/>
    </row>
    <row r="84" spans="1:35" ht="1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7"/>
    </row>
    <row r="85" spans="1:35" ht="1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1"/>
    </row>
    <row r="86" spans="1:35" ht="1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7"/>
    </row>
    <row r="87" spans="1:35" ht="1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7"/>
    </row>
    <row r="88" spans="1:35" ht="1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7"/>
    </row>
    <row r="89" spans="1:35" ht="1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7"/>
    </row>
    <row r="90" spans="1:35" ht="1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7"/>
    </row>
    <row r="91" spans="1:35" ht="1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1"/>
    </row>
    <row r="92" spans="1:35" ht="1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7"/>
    </row>
    <row r="93" spans="1:35" ht="1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1"/>
    </row>
    <row r="94" spans="1:35" ht="1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7"/>
    </row>
    <row r="95" spans="1:35" ht="1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7"/>
    </row>
    <row r="96" spans="1:35" ht="1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1"/>
    </row>
    <row r="97" spans="1:35" ht="1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7"/>
    </row>
    <row r="98" spans="1:35" ht="1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1"/>
    </row>
    <row r="99" spans="1:35" ht="1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7"/>
    </row>
    <row r="100" spans="1:35" ht="1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1"/>
    </row>
    <row r="101" spans="1:35" ht="1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7"/>
    </row>
    <row r="102" spans="1:35" ht="1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7"/>
    </row>
    <row r="103" spans="1:35" ht="1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7"/>
    </row>
    <row r="104" spans="1:35" ht="1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7"/>
    </row>
    <row r="105" spans="1:35" ht="1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1"/>
    </row>
    <row r="106" spans="1:35" ht="1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1"/>
    </row>
    <row r="107" spans="1:35" ht="1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1"/>
    </row>
    <row r="108" spans="1:35" ht="1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7"/>
    </row>
    <row r="109" spans="1:35" ht="1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7"/>
    </row>
    <row r="110" spans="1:35" ht="1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1"/>
    </row>
    <row r="111" spans="1:35" ht="1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7"/>
    </row>
    <row r="112" spans="1:35" ht="1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7"/>
    </row>
    <row r="113" spans="1:35" ht="1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1"/>
    </row>
    <row r="114" spans="1:35" ht="1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7"/>
    </row>
    <row r="115" spans="1:35" ht="1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7"/>
    </row>
    <row r="116" spans="1:35" ht="1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7"/>
    </row>
    <row r="117" spans="1:35" ht="1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1"/>
    </row>
    <row r="118" spans="1:35" ht="1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1"/>
    </row>
    <row r="119" spans="1:35" ht="1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1"/>
    </row>
    <row r="120" spans="1:35" ht="1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7"/>
    </row>
    <row r="121" spans="1:35" ht="1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7"/>
    </row>
    <row r="122" spans="1:35" ht="1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7"/>
    </row>
    <row r="123" spans="1:35" ht="1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7"/>
    </row>
    <row r="124" spans="1:35" ht="1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1"/>
    </row>
    <row r="125" spans="1:35" ht="1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7"/>
    </row>
    <row r="126" spans="1:35" ht="1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7"/>
    </row>
    <row r="127" spans="1:35" ht="1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1"/>
    </row>
    <row r="128" spans="1:35" ht="1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1"/>
    </row>
    <row r="129" spans="1:35" ht="1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7"/>
    </row>
    <row r="130" spans="1:35" ht="1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1"/>
    </row>
    <row r="131" spans="1:35" ht="1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1"/>
    </row>
    <row r="132" spans="1:35" ht="1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1"/>
    </row>
    <row r="133" spans="1:35" ht="1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7"/>
    </row>
    <row r="134" spans="1:35" ht="1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7"/>
    </row>
    <row r="135" spans="1:35" ht="1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1"/>
    </row>
    <row r="136" spans="1:35" ht="1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7"/>
    </row>
    <row r="137" spans="1:35" ht="1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1"/>
    </row>
    <row r="138" spans="1:35" ht="1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7"/>
    </row>
    <row r="139" spans="1:35" ht="1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7"/>
    </row>
    <row r="140" spans="1:35" ht="1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1"/>
    </row>
    <row r="141" spans="1:35" ht="1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7"/>
    </row>
    <row r="142" spans="1:35" ht="1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7"/>
    </row>
    <row r="143" spans="1:35" ht="1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1"/>
    </row>
    <row r="144" spans="1:35" ht="1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7"/>
    </row>
    <row r="145" spans="1:35" ht="1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7"/>
    </row>
    <row r="146" spans="1:35" ht="1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7"/>
    </row>
    <row r="147" spans="1:35" ht="1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7"/>
    </row>
    <row r="148" spans="1:35" ht="1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1"/>
    </row>
    <row r="149" spans="1:35" ht="1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7"/>
    </row>
    <row r="150" spans="1:35" ht="1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7"/>
    </row>
    <row r="151" spans="1:35" ht="1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1"/>
    </row>
    <row r="152" spans="1:35" ht="1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7"/>
    </row>
    <row r="153" spans="1:35" ht="1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7"/>
    </row>
    <row r="154" spans="1:35" ht="1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7"/>
    </row>
    <row r="155" spans="1:35" ht="1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7"/>
    </row>
    <row r="156" spans="1:35" ht="1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1"/>
    </row>
    <row r="157" spans="1:35" ht="1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1"/>
    </row>
    <row r="158" spans="1:35" ht="1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7"/>
    </row>
    <row r="159" spans="1:35" ht="1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7"/>
    </row>
    <row r="160" spans="1:35" ht="1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1"/>
    </row>
    <row r="161" spans="1:35" ht="1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7"/>
    </row>
    <row r="162" spans="1:35" ht="1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7"/>
    </row>
    <row r="163" spans="1:35" ht="1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7"/>
    </row>
    <row r="164" spans="1:35" ht="1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1"/>
    </row>
    <row r="165" spans="1:35" ht="1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7"/>
    </row>
    <row r="166" spans="1:35" ht="1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7"/>
    </row>
    <row r="167" spans="1:35" ht="1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7"/>
    </row>
    <row r="168" spans="1:35" ht="1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7"/>
    </row>
    <row r="169" spans="1:35" ht="1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1"/>
    </row>
    <row r="170" spans="1:35" ht="1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7"/>
    </row>
    <row r="171" spans="1:35" ht="1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7"/>
    </row>
    <row r="172" spans="1:35" ht="1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7"/>
    </row>
    <row r="173" spans="1:35" ht="1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7"/>
    </row>
    <row r="174" spans="1:35" ht="1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7"/>
    </row>
    <row r="175" spans="1:35" ht="1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7"/>
    </row>
    <row r="176" spans="1:35" ht="1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7"/>
    </row>
    <row r="177" spans="1:35" ht="1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7"/>
    </row>
    <row r="178" spans="1:35" ht="1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7"/>
    </row>
    <row r="179" spans="1:35" ht="1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1"/>
    </row>
    <row r="180" spans="1:35" ht="1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7"/>
    </row>
    <row r="181" spans="1:35" ht="1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1"/>
    </row>
    <row r="182" spans="1:35" ht="1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7"/>
    </row>
    <row r="183" spans="1:35" ht="1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1"/>
    </row>
    <row r="184" spans="1:35" ht="1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7"/>
    </row>
    <row r="185" spans="1:35" ht="1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7"/>
    </row>
    <row r="186" spans="1:35" ht="1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1"/>
    </row>
    <row r="187" spans="1:35" ht="1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1"/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28"/>
  <sheetViews>
    <sheetView workbookViewId="0"/>
  </sheetViews>
  <sheetFormatPr defaultRowHeight="14.4"/>
  <cols>
    <col min="1" max="1" width="9.33203125" customWidth="1"/>
    <col min="2" max="4" width="42.109375" customWidth="1"/>
    <col min="5" max="5" width="40.109375" customWidth="1"/>
    <col min="6" max="7" width="42.109375" customWidth="1"/>
    <col min="8" max="8" width="41.44140625" customWidth="1"/>
    <col min="9" max="37" width="42.109375" customWidth="1"/>
  </cols>
  <sheetData>
    <row r="1" spans="1:37">
      <c r="A1" s="23" t="s">
        <v>0</v>
      </c>
      <c r="B1" s="24" t="s">
        <v>603</v>
      </c>
      <c r="C1" s="22" t="s">
        <v>604</v>
      </c>
      <c r="D1" s="25" t="s">
        <v>605</v>
      </c>
      <c r="E1" s="22" t="s">
        <v>606</v>
      </c>
      <c r="F1" s="26" t="s">
        <v>607</v>
      </c>
      <c r="G1" s="22" t="s">
        <v>608</v>
      </c>
      <c r="H1" s="22" t="s">
        <v>609</v>
      </c>
      <c r="I1" s="22" t="s">
        <v>610</v>
      </c>
      <c r="J1" s="22" t="s">
        <v>611</v>
      </c>
      <c r="K1" s="22" t="s">
        <v>612</v>
      </c>
      <c r="L1" s="22" t="s">
        <v>613</v>
      </c>
      <c r="M1" s="22" t="s">
        <v>614</v>
      </c>
      <c r="N1" s="22" t="s">
        <v>615</v>
      </c>
      <c r="O1" s="22" t="s">
        <v>616</v>
      </c>
      <c r="P1" s="22" t="s">
        <v>617</v>
      </c>
      <c r="Q1" s="22" t="s">
        <v>618</v>
      </c>
      <c r="R1" s="22" t="s">
        <v>619</v>
      </c>
      <c r="S1" s="24" t="s">
        <v>620</v>
      </c>
      <c r="T1" s="11" t="s">
        <v>621</v>
      </c>
      <c r="U1" s="11" t="s">
        <v>622</v>
      </c>
      <c r="V1" s="11" t="s">
        <v>623</v>
      </c>
      <c r="W1" s="11" t="s">
        <v>624</v>
      </c>
      <c r="X1" s="11" t="s">
        <v>625</v>
      </c>
      <c r="Y1" s="11" t="s">
        <v>626</v>
      </c>
      <c r="Z1" s="11" t="s">
        <v>627</v>
      </c>
      <c r="AA1" s="11" t="s">
        <v>628</v>
      </c>
      <c r="AB1" s="11" t="s">
        <v>629</v>
      </c>
      <c r="AC1" s="11" t="s">
        <v>630</v>
      </c>
      <c r="AD1" s="11" t="s">
        <v>631</v>
      </c>
      <c r="AE1" s="11" t="s">
        <v>632</v>
      </c>
      <c r="AF1" s="11" t="s">
        <v>633</v>
      </c>
      <c r="AG1" s="11" t="s">
        <v>634</v>
      </c>
      <c r="AH1" s="11" t="s">
        <v>635</v>
      </c>
      <c r="AI1" s="11" t="s">
        <v>636</v>
      </c>
      <c r="AJ1" s="11" t="s">
        <v>637</v>
      </c>
      <c r="AK1" s="11" t="s">
        <v>638</v>
      </c>
    </row>
    <row r="2" spans="1:37">
      <c r="A2" s="1" t="s">
        <v>78</v>
      </c>
      <c r="B2" s="27"/>
      <c r="C2" s="10"/>
      <c r="D2" s="28"/>
      <c r="E2" s="10"/>
      <c r="F2" s="2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27"/>
      <c r="T2" s="1" t="s">
        <v>80</v>
      </c>
      <c r="U2" s="11" t="s">
        <v>569</v>
      </c>
      <c r="V2" s="1" t="s">
        <v>639</v>
      </c>
      <c r="W2" s="11" t="s">
        <v>640</v>
      </c>
      <c r="X2" s="1" t="s">
        <v>81</v>
      </c>
      <c r="Y2" s="1" t="s">
        <v>80</v>
      </c>
      <c r="Z2" s="1" t="s">
        <v>81</v>
      </c>
      <c r="AA2" s="1" t="s">
        <v>80</v>
      </c>
      <c r="AB2" s="1" t="s">
        <v>80</v>
      </c>
      <c r="AC2" s="1" t="s">
        <v>80</v>
      </c>
      <c r="AD2" s="1" t="s">
        <v>80</v>
      </c>
      <c r="AE2" s="1" t="s">
        <v>80</v>
      </c>
      <c r="AF2" s="1" t="s">
        <v>81</v>
      </c>
      <c r="AG2" s="1" t="s">
        <v>80</v>
      </c>
      <c r="AH2" s="1" t="s">
        <v>641</v>
      </c>
      <c r="AI2" s="1" t="s">
        <v>81</v>
      </c>
      <c r="AJ2" s="1" t="s">
        <v>81</v>
      </c>
      <c r="AK2" s="1" t="s">
        <v>81</v>
      </c>
    </row>
    <row r="3" spans="1:37">
      <c r="A3" s="1" t="s">
        <v>116</v>
      </c>
      <c r="B3" s="27" t="s">
        <v>80</v>
      </c>
      <c r="C3" s="22" t="s">
        <v>585</v>
      </c>
      <c r="D3" s="28" t="s">
        <v>642</v>
      </c>
      <c r="E3" s="22" t="s">
        <v>640</v>
      </c>
      <c r="F3" s="29" t="s">
        <v>80</v>
      </c>
      <c r="G3" s="10" t="s">
        <v>81</v>
      </c>
      <c r="H3" s="10" t="s">
        <v>80</v>
      </c>
      <c r="I3" s="10" t="s">
        <v>80</v>
      </c>
      <c r="J3" s="10" t="s">
        <v>80</v>
      </c>
      <c r="K3" s="10" t="s">
        <v>80</v>
      </c>
      <c r="L3" s="10" t="s">
        <v>80</v>
      </c>
      <c r="M3" s="10" t="s">
        <v>81</v>
      </c>
      <c r="N3" s="10" t="s">
        <v>81</v>
      </c>
      <c r="O3" s="10" t="s">
        <v>80</v>
      </c>
      <c r="P3" s="10" t="s">
        <v>643</v>
      </c>
      <c r="Q3" s="10" t="s">
        <v>80</v>
      </c>
      <c r="R3" s="10" t="s">
        <v>81</v>
      </c>
      <c r="S3" s="27" t="s">
        <v>81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>
      <c r="A4" s="1" t="s">
        <v>151</v>
      </c>
      <c r="B4" s="27" t="s">
        <v>81</v>
      </c>
      <c r="C4" s="22" t="s">
        <v>569</v>
      </c>
      <c r="D4" s="28" t="s">
        <v>644</v>
      </c>
      <c r="E4" s="22" t="s">
        <v>645</v>
      </c>
      <c r="F4" s="29" t="s">
        <v>80</v>
      </c>
      <c r="G4" s="10" t="s">
        <v>81</v>
      </c>
      <c r="H4" s="10" t="s">
        <v>81</v>
      </c>
      <c r="I4" s="10" t="s">
        <v>81</v>
      </c>
      <c r="J4" s="10" t="s">
        <v>81</v>
      </c>
      <c r="K4" s="10" t="s">
        <v>81</v>
      </c>
      <c r="L4" s="10" t="s">
        <v>81</v>
      </c>
      <c r="M4" s="10" t="s">
        <v>81</v>
      </c>
      <c r="N4" s="10" t="s">
        <v>80</v>
      </c>
      <c r="O4" s="10" t="s">
        <v>80</v>
      </c>
      <c r="P4" s="10" t="s">
        <v>641</v>
      </c>
      <c r="Q4" s="10" t="s">
        <v>80</v>
      </c>
      <c r="R4" s="10" t="s">
        <v>81</v>
      </c>
      <c r="S4" s="27" t="s">
        <v>80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>
      <c r="A5" s="1" t="s">
        <v>188</v>
      </c>
      <c r="B5" s="27"/>
      <c r="C5" s="27"/>
      <c r="D5" s="28"/>
      <c r="E5" s="10"/>
      <c r="F5" s="2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27"/>
      <c r="T5" s="1" t="s">
        <v>81</v>
      </c>
      <c r="U5" s="11" t="s">
        <v>585</v>
      </c>
      <c r="V5" s="1" t="s">
        <v>646</v>
      </c>
      <c r="W5" s="11" t="s">
        <v>645</v>
      </c>
      <c r="X5" s="1" t="s">
        <v>80</v>
      </c>
      <c r="Y5" s="1" t="s">
        <v>81</v>
      </c>
      <c r="Z5" s="1" t="s">
        <v>81</v>
      </c>
      <c r="AA5" s="1" t="s">
        <v>81</v>
      </c>
      <c r="AB5" s="1" t="s">
        <v>81</v>
      </c>
      <c r="AC5" s="1" t="s">
        <v>81</v>
      </c>
      <c r="AD5" s="1" t="s">
        <v>81</v>
      </c>
      <c r="AE5" s="1" t="s">
        <v>81</v>
      </c>
      <c r="AF5" s="1" t="s">
        <v>80</v>
      </c>
      <c r="AG5" s="1" t="s">
        <v>81</v>
      </c>
      <c r="AH5" s="1" t="s">
        <v>641</v>
      </c>
      <c r="AI5" s="1" t="s">
        <v>80</v>
      </c>
      <c r="AJ5" s="1" t="s">
        <v>81</v>
      </c>
      <c r="AK5" s="1" t="s">
        <v>80</v>
      </c>
    </row>
    <row r="6" spans="1:37">
      <c r="A6" s="1" t="s">
        <v>217</v>
      </c>
      <c r="B6" s="27"/>
      <c r="C6" s="10"/>
      <c r="D6" s="28"/>
      <c r="E6" s="10"/>
      <c r="F6" s="2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27"/>
      <c r="T6" s="1" t="s">
        <v>80</v>
      </c>
      <c r="U6" s="11" t="s">
        <v>569</v>
      </c>
      <c r="V6" s="1" t="s">
        <v>647</v>
      </c>
      <c r="W6" s="11" t="s">
        <v>648</v>
      </c>
      <c r="X6" s="1" t="s">
        <v>80</v>
      </c>
      <c r="Y6" s="1" t="s">
        <v>81</v>
      </c>
      <c r="Z6" s="1" t="s">
        <v>81</v>
      </c>
      <c r="AA6" s="1" t="s">
        <v>81</v>
      </c>
      <c r="AB6" s="1" t="s">
        <v>80</v>
      </c>
      <c r="AC6" s="1" t="s">
        <v>81</v>
      </c>
      <c r="AD6" s="1" t="s">
        <v>81</v>
      </c>
      <c r="AE6" s="1" t="s">
        <v>81</v>
      </c>
      <c r="AF6" s="1" t="s">
        <v>81</v>
      </c>
      <c r="AG6" s="1" t="s">
        <v>81</v>
      </c>
      <c r="AH6" s="1" t="s">
        <v>641</v>
      </c>
      <c r="AI6" s="1" t="s">
        <v>80</v>
      </c>
      <c r="AJ6" s="1" t="s">
        <v>81</v>
      </c>
      <c r="AK6" s="1" t="s">
        <v>80</v>
      </c>
    </row>
    <row r="7" spans="1:37">
      <c r="A7" s="1" t="s">
        <v>251</v>
      </c>
      <c r="B7" s="27"/>
      <c r="C7" s="10"/>
      <c r="D7" s="28"/>
      <c r="E7" s="10"/>
      <c r="F7" s="2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27"/>
      <c r="T7" s="1" t="s">
        <v>80</v>
      </c>
      <c r="U7" s="11" t="s">
        <v>585</v>
      </c>
      <c r="V7" s="1" t="s">
        <v>649</v>
      </c>
      <c r="W7" s="11" t="s">
        <v>650</v>
      </c>
      <c r="X7" s="1" t="s">
        <v>81</v>
      </c>
      <c r="Y7" s="1" t="s">
        <v>80</v>
      </c>
      <c r="Z7" s="1" t="s">
        <v>80</v>
      </c>
      <c r="AA7" s="1" t="s">
        <v>80</v>
      </c>
      <c r="AB7" s="1" t="s">
        <v>80</v>
      </c>
      <c r="AC7" s="1" t="s">
        <v>80</v>
      </c>
      <c r="AD7" s="1" t="s">
        <v>80</v>
      </c>
      <c r="AE7" s="1" t="s">
        <v>80</v>
      </c>
      <c r="AF7" s="1" t="s">
        <v>81</v>
      </c>
      <c r="AG7" s="1" t="s">
        <v>81</v>
      </c>
      <c r="AH7" s="1" t="s">
        <v>641</v>
      </c>
      <c r="AI7" s="1" t="s">
        <v>81</v>
      </c>
      <c r="AJ7" s="1" t="s">
        <v>80</v>
      </c>
      <c r="AK7" s="1" t="s">
        <v>81</v>
      </c>
    </row>
    <row r="8" spans="1:37">
      <c r="A8" s="1" t="s">
        <v>280</v>
      </c>
      <c r="B8" s="27" t="s">
        <v>80</v>
      </c>
      <c r="C8" s="22" t="s">
        <v>585</v>
      </c>
      <c r="D8" s="28" t="s">
        <v>644</v>
      </c>
      <c r="E8" s="22" t="s">
        <v>650</v>
      </c>
      <c r="F8" s="29" t="s">
        <v>80</v>
      </c>
      <c r="G8" s="10" t="s">
        <v>81</v>
      </c>
      <c r="H8" s="10" t="s">
        <v>80</v>
      </c>
      <c r="I8" s="10" t="s">
        <v>80</v>
      </c>
      <c r="J8" s="10" t="s">
        <v>80</v>
      </c>
      <c r="K8" s="10" t="s">
        <v>80</v>
      </c>
      <c r="L8" s="10" t="s">
        <v>80</v>
      </c>
      <c r="M8" s="10" t="s">
        <v>81</v>
      </c>
      <c r="N8" s="10" t="s">
        <v>81</v>
      </c>
      <c r="O8" s="10" t="s">
        <v>81</v>
      </c>
      <c r="P8" s="10" t="s">
        <v>641</v>
      </c>
      <c r="Q8" s="10" t="s">
        <v>81</v>
      </c>
      <c r="R8" s="10" t="s">
        <v>81</v>
      </c>
      <c r="S8" s="27" t="s">
        <v>81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>
      <c r="A9" s="1" t="s">
        <v>309</v>
      </c>
      <c r="B9" s="27" t="s">
        <v>81</v>
      </c>
      <c r="C9" s="22" t="s">
        <v>569</v>
      </c>
      <c r="D9" s="28" t="s">
        <v>644</v>
      </c>
      <c r="E9" s="22" t="s">
        <v>645</v>
      </c>
      <c r="F9" s="29" t="s">
        <v>80</v>
      </c>
      <c r="G9" s="10" t="s">
        <v>81</v>
      </c>
      <c r="H9" s="10" t="s">
        <v>81</v>
      </c>
      <c r="I9" s="10" t="s">
        <v>81</v>
      </c>
      <c r="J9" s="10" t="s">
        <v>81</v>
      </c>
      <c r="K9" s="10" t="s">
        <v>81</v>
      </c>
      <c r="L9" s="10" t="s">
        <v>81</v>
      </c>
      <c r="M9" s="10" t="s">
        <v>81</v>
      </c>
      <c r="N9" s="10" t="s">
        <v>80</v>
      </c>
      <c r="O9" s="10" t="s">
        <v>80</v>
      </c>
      <c r="P9" s="10" t="s">
        <v>641</v>
      </c>
      <c r="Q9" s="10" t="s">
        <v>80</v>
      </c>
      <c r="R9" s="10" t="s">
        <v>81</v>
      </c>
      <c r="S9" s="27" t="s">
        <v>80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>
      <c r="A10" s="1" t="s">
        <v>339</v>
      </c>
      <c r="B10" s="27" t="s">
        <v>80</v>
      </c>
      <c r="C10" s="22" t="s">
        <v>569</v>
      </c>
      <c r="D10" s="28" t="s">
        <v>651</v>
      </c>
      <c r="E10" s="22" t="s">
        <v>648</v>
      </c>
      <c r="F10" s="29" t="s">
        <v>80</v>
      </c>
      <c r="G10" s="10" t="s">
        <v>81</v>
      </c>
      <c r="H10" s="10" t="s">
        <v>80</v>
      </c>
      <c r="I10" s="10" t="s">
        <v>81</v>
      </c>
      <c r="J10" s="10" t="s">
        <v>81</v>
      </c>
      <c r="K10" s="10" t="s">
        <v>81</v>
      </c>
      <c r="L10" s="10" t="s">
        <v>81</v>
      </c>
      <c r="M10" s="10" t="s">
        <v>81</v>
      </c>
      <c r="N10" s="10" t="s">
        <v>80</v>
      </c>
      <c r="O10" s="10" t="s">
        <v>81</v>
      </c>
      <c r="P10" s="10" t="s">
        <v>641</v>
      </c>
      <c r="Q10" s="10" t="s">
        <v>81</v>
      </c>
      <c r="R10" s="10" t="s">
        <v>81</v>
      </c>
      <c r="S10" s="27" t="s">
        <v>81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>
      <c r="A11" s="1" t="s">
        <v>369</v>
      </c>
      <c r="B11" s="27" t="s">
        <v>80</v>
      </c>
      <c r="C11" s="22" t="s">
        <v>569</v>
      </c>
      <c r="D11" s="28" t="s">
        <v>642</v>
      </c>
      <c r="E11" s="22" t="s">
        <v>650</v>
      </c>
      <c r="F11" s="29" t="s">
        <v>80</v>
      </c>
      <c r="G11" s="10" t="s">
        <v>81</v>
      </c>
      <c r="H11" s="10" t="s">
        <v>80</v>
      </c>
      <c r="I11" s="10" t="s">
        <v>81</v>
      </c>
      <c r="J11" s="10" t="s">
        <v>81</v>
      </c>
      <c r="K11" s="10" t="s">
        <v>81</v>
      </c>
      <c r="L11" s="10" t="s">
        <v>81</v>
      </c>
      <c r="M11" s="10" t="s">
        <v>81</v>
      </c>
      <c r="N11" s="10" t="s">
        <v>81</v>
      </c>
      <c r="O11" s="10" t="s">
        <v>81</v>
      </c>
      <c r="P11" s="10" t="s">
        <v>641</v>
      </c>
      <c r="Q11" s="10" t="s">
        <v>80</v>
      </c>
      <c r="R11" s="10" t="s">
        <v>81</v>
      </c>
      <c r="S11" s="27" t="s">
        <v>80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>
      <c r="A12" s="1"/>
      <c r="B12" s="30"/>
      <c r="C12" s="11"/>
      <c r="D12" s="31"/>
      <c r="E12" s="11"/>
      <c r="F12" s="3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30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>
      <c r="A13" s="1"/>
      <c r="B13" s="30"/>
      <c r="C13" s="1"/>
      <c r="D13" s="31"/>
      <c r="E13" s="1"/>
      <c r="F13" s="3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30"/>
      <c r="T13" s="1"/>
      <c r="U13" s="11"/>
      <c r="V13" s="1"/>
      <c r="W13" s="1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>
      <c r="A14" s="1"/>
      <c r="B14" s="30"/>
      <c r="C14" s="1"/>
      <c r="D14" s="31"/>
      <c r="E14" s="1"/>
      <c r="F14" s="3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30"/>
      <c r="T14" s="1"/>
      <c r="U14" s="11"/>
      <c r="V14" s="1"/>
      <c r="W14" s="1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>
      <c r="A15" s="1"/>
      <c r="B15" s="30"/>
      <c r="C15" s="11"/>
      <c r="D15" s="31"/>
      <c r="E15" s="11"/>
      <c r="F15" s="3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30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>
      <c r="A16" s="1"/>
      <c r="B16" s="30"/>
      <c r="C16" s="11"/>
      <c r="D16" s="31"/>
      <c r="E16" s="11"/>
      <c r="F16" s="3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30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>
      <c r="A17" s="1"/>
      <c r="B17" s="30"/>
      <c r="C17" s="1"/>
      <c r="D17" s="31"/>
      <c r="E17" s="1"/>
      <c r="F17" s="3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30"/>
      <c r="T17" s="1"/>
      <c r="U17" s="11"/>
      <c r="V17" s="1"/>
      <c r="W17" s="1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>
      <c r="A18" s="1"/>
      <c r="B18" s="30"/>
      <c r="C18" s="11"/>
      <c r="D18" s="31"/>
      <c r="E18" s="11"/>
      <c r="F18" s="3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30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>
      <c r="A19" s="1"/>
      <c r="B19" s="30"/>
      <c r="C19" s="11"/>
      <c r="D19" s="31"/>
      <c r="E19" s="11"/>
      <c r="F19" s="3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30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>
      <c r="A20" s="1"/>
      <c r="B20" s="30"/>
      <c r="C20" s="11"/>
      <c r="D20" s="31"/>
      <c r="E20" s="1"/>
      <c r="F20" s="3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30"/>
      <c r="T20" s="1"/>
      <c r="U20" s="11"/>
      <c r="V20" s="1"/>
      <c r="W20" s="1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>
      <c r="A21" s="1"/>
      <c r="B21" s="30"/>
      <c r="C21" s="11"/>
      <c r="D21" s="31"/>
      <c r="E21" s="1"/>
      <c r="F21" s="3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30"/>
      <c r="T21" s="1"/>
      <c r="U21" s="11"/>
      <c r="V21" s="1"/>
      <c r="W21" s="1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>
      <c r="A22" s="1"/>
      <c r="B22" s="30"/>
      <c r="C22" s="11"/>
      <c r="D22" s="31"/>
      <c r="E22" s="1"/>
      <c r="F22" s="3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30"/>
      <c r="T22" s="1"/>
      <c r="U22" s="11"/>
      <c r="V22" s="1"/>
      <c r="W22" s="1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>
      <c r="A23" s="1"/>
      <c r="B23" s="30"/>
      <c r="C23" s="11"/>
      <c r="D23" s="31"/>
      <c r="E23" s="11"/>
      <c r="F23" s="3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30"/>
      <c r="T23" s="1"/>
      <c r="U23" s="1"/>
      <c r="V23" s="1"/>
      <c r="W23" s="1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>
      <c r="A24" s="1"/>
      <c r="B24" s="30"/>
      <c r="C24" s="11"/>
      <c r="D24" s="31"/>
      <c r="E24" s="11"/>
      <c r="F24" s="3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30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>
      <c r="A25" s="1"/>
      <c r="B25" s="30"/>
      <c r="C25" s="1"/>
      <c r="D25" s="31"/>
      <c r="E25" s="1"/>
      <c r="F25" s="3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30"/>
      <c r="T25" s="1"/>
      <c r="U25" s="11"/>
      <c r="V25" s="1"/>
      <c r="W25" s="1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>
      <c r="A26" s="1"/>
      <c r="B26" s="30"/>
      <c r="C26" s="11"/>
      <c r="D26" s="31"/>
      <c r="E26" s="11"/>
      <c r="F26" s="3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30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>
      <c r="A27" s="1"/>
      <c r="B27" s="30"/>
      <c r="C27" s="11"/>
      <c r="D27" s="31"/>
      <c r="E27" s="11"/>
      <c r="F27" s="32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30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>
      <c r="A28" s="1"/>
      <c r="B28" s="30"/>
      <c r="C28" s="1"/>
      <c r="D28" s="31"/>
      <c r="E28" s="1"/>
      <c r="F28" s="3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30"/>
      <c r="T28" s="1"/>
      <c r="U28" s="11"/>
      <c r="V28" s="1"/>
      <c r="W28" s="1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38"/>
  <sheetViews>
    <sheetView workbookViewId="0">
      <pane xSplit="1" topLeftCell="U1" activePane="topRight" state="frozen"/>
      <selection pane="topRight" activeCell="A3" sqref="A3:XFD7"/>
    </sheetView>
  </sheetViews>
  <sheetFormatPr defaultRowHeight="14.4"/>
  <cols>
    <col min="1" max="1" width="9.33203125" customWidth="1"/>
    <col min="2" max="2" width="15" customWidth="1"/>
    <col min="3" max="3" width="22.6640625" customWidth="1"/>
    <col min="4" max="4" width="16.6640625" style="56" customWidth="1"/>
    <col min="5" max="5" width="12" customWidth="1"/>
    <col min="6" max="6" width="22.6640625" customWidth="1"/>
    <col min="7" max="7" width="14.109375" style="56" customWidth="1"/>
    <col min="8" max="8" width="10.5546875" customWidth="1"/>
    <col min="9" max="9" width="22.6640625" customWidth="1"/>
    <col min="10" max="10" width="12.109375" customWidth="1"/>
    <col min="11" max="11" width="23.88671875" customWidth="1"/>
    <col min="12" max="12" width="14.6640625" style="56" customWidth="1"/>
    <col min="13" max="13" width="20.33203125" customWidth="1"/>
    <col min="14" max="14" width="24.33203125" customWidth="1"/>
    <col min="15" max="15" width="26.33203125" style="56" customWidth="1"/>
    <col min="16" max="16" width="12.33203125" customWidth="1"/>
    <col min="17" max="17" width="22.6640625" customWidth="1"/>
    <col min="18" max="18" width="18.5546875" customWidth="1"/>
    <col min="19" max="19" width="22.6640625" customWidth="1"/>
    <col min="20" max="20" width="11.88671875" style="56" customWidth="1"/>
    <col min="21" max="21" width="25.44140625" customWidth="1"/>
    <col min="22" max="22" width="23" customWidth="1"/>
    <col min="23" max="23" width="22.88671875" customWidth="1"/>
    <col min="24" max="24" width="18.44140625" customWidth="1"/>
    <col min="25" max="25" width="17.33203125" customWidth="1"/>
    <col min="26" max="26" width="18.44140625" customWidth="1"/>
    <col min="27" max="27" width="23.33203125" customWidth="1"/>
    <col min="28" max="28" width="22.88671875" customWidth="1"/>
    <col min="29" max="29" width="30.88671875" customWidth="1"/>
    <col min="30" max="30" width="42.109375" customWidth="1"/>
  </cols>
  <sheetData>
    <row r="1" spans="1:30">
      <c r="A1" s="11" t="s">
        <v>0</v>
      </c>
      <c r="B1" s="11" t="s">
        <v>652</v>
      </c>
      <c r="C1" s="33" t="s">
        <v>653</v>
      </c>
      <c r="D1" s="33" t="s">
        <v>654</v>
      </c>
      <c r="E1" s="11" t="s">
        <v>655</v>
      </c>
      <c r="F1" s="33" t="s">
        <v>656</v>
      </c>
      <c r="G1" s="33" t="s">
        <v>657</v>
      </c>
      <c r="H1" s="11" t="s">
        <v>658</v>
      </c>
      <c r="I1" s="33" t="s">
        <v>659</v>
      </c>
      <c r="J1" s="11" t="s">
        <v>660</v>
      </c>
      <c r="K1" s="33" t="s">
        <v>661</v>
      </c>
      <c r="L1" s="33" t="s">
        <v>662</v>
      </c>
      <c r="M1" s="11" t="s">
        <v>663</v>
      </c>
      <c r="N1" s="33" t="s">
        <v>664</v>
      </c>
      <c r="O1" s="33" t="s">
        <v>665</v>
      </c>
      <c r="P1" s="11" t="s">
        <v>666</v>
      </c>
      <c r="Q1" s="33" t="s">
        <v>667</v>
      </c>
      <c r="R1" s="11" t="s">
        <v>668</v>
      </c>
      <c r="S1" s="33" t="s">
        <v>669</v>
      </c>
      <c r="T1" s="33" t="s">
        <v>670</v>
      </c>
      <c r="U1" s="33" t="s">
        <v>671</v>
      </c>
      <c r="V1" s="34" t="s">
        <v>672</v>
      </c>
      <c r="W1" s="34" t="s">
        <v>673</v>
      </c>
      <c r="X1" s="34" t="s">
        <v>674</v>
      </c>
      <c r="Y1" s="35" t="s">
        <v>675</v>
      </c>
      <c r="Z1" s="34" t="s">
        <v>676</v>
      </c>
      <c r="AA1" s="35" t="s">
        <v>677</v>
      </c>
      <c r="AB1" s="35" t="s">
        <v>678</v>
      </c>
      <c r="AC1" s="34" t="s">
        <v>679</v>
      </c>
      <c r="AD1" s="35" t="s">
        <v>409</v>
      </c>
    </row>
    <row r="2" spans="1:30">
      <c r="A2" s="36" t="s">
        <v>78</v>
      </c>
      <c r="B2" s="17">
        <v>10000</v>
      </c>
      <c r="C2" s="17" t="s">
        <v>553</v>
      </c>
      <c r="D2" s="57" t="s">
        <v>565</v>
      </c>
      <c r="E2" s="17">
        <v>5000</v>
      </c>
      <c r="F2" s="17" t="s">
        <v>543</v>
      </c>
      <c r="G2" s="17" t="s">
        <v>565</v>
      </c>
      <c r="H2" s="17">
        <v>100750</v>
      </c>
      <c r="I2" s="17" t="s">
        <v>553</v>
      </c>
      <c r="J2" s="17">
        <v>26300</v>
      </c>
      <c r="K2" s="17" t="s">
        <v>553</v>
      </c>
      <c r="L2" s="17" t="s">
        <v>596</v>
      </c>
      <c r="M2" s="17">
        <v>10900</v>
      </c>
      <c r="N2" s="17" t="s">
        <v>553</v>
      </c>
      <c r="O2" s="17" t="s">
        <v>596</v>
      </c>
      <c r="P2" s="17">
        <v>77100</v>
      </c>
      <c r="Q2" s="17" t="s">
        <v>553</v>
      </c>
      <c r="R2" s="17">
        <v>16100</v>
      </c>
      <c r="S2" s="17" t="s">
        <v>543</v>
      </c>
      <c r="T2" s="17" t="s">
        <v>596</v>
      </c>
      <c r="U2" s="37" t="s">
        <v>80</v>
      </c>
      <c r="V2" s="7" t="s">
        <v>680</v>
      </c>
      <c r="W2" s="7" t="s">
        <v>1583</v>
      </c>
      <c r="X2" s="7" t="s">
        <v>681</v>
      </c>
      <c r="Y2" s="11" t="s">
        <v>682</v>
      </c>
      <c r="Z2" s="7">
        <v>5000</v>
      </c>
      <c r="AA2" s="11" t="s">
        <v>80</v>
      </c>
      <c r="AB2" s="11" t="s">
        <v>81</v>
      </c>
      <c r="AC2" s="11" t="s">
        <v>80</v>
      </c>
      <c r="AD2" s="11" t="s">
        <v>419</v>
      </c>
    </row>
    <row r="3" spans="1:30">
      <c r="A3" s="11" t="s">
        <v>116</v>
      </c>
      <c r="B3" s="17">
        <v>5000</v>
      </c>
      <c r="C3" s="17" t="s">
        <v>543</v>
      </c>
      <c r="D3" s="17" t="s">
        <v>565</v>
      </c>
      <c r="E3" s="17">
        <v>12500</v>
      </c>
      <c r="F3" s="17" t="s">
        <v>543</v>
      </c>
      <c r="G3" s="17" t="s">
        <v>596</v>
      </c>
      <c r="H3" s="17">
        <v>134000</v>
      </c>
      <c r="I3" s="17" t="s">
        <v>553</v>
      </c>
      <c r="J3" s="17">
        <v>100000</v>
      </c>
      <c r="K3" s="17" t="s">
        <v>553</v>
      </c>
      <c r="L3" s="17" t="s">
        <v>565</v>
      </c>
      <c r="M3" s="17">
        <v>28000</v>
      </c>
      <c r="N3" s="17" t="s">
        <v>553</v>
      </c>
      <c r="O3" s="17" t="s">
        <v>565</v>
      </c>
      <c r="P3" s="17">
        <v>117000</v>
      </c>
      <c r="Q3" s="17" t="s">
        <v>553</v>
      </c>
      <c r="R3" s="17">
        <v>37000</v>
      </c>
      <c r="S3" s="17" t="s">
        <v>543</v>
      </c>
      <c r="T3" s="17" t="s">
        <v>565</v>
      </c>
      <c r="U3" s="38" t="s">
        <v>80</v>
      </c>
      <c r="V3" s="7" t="s">
        <v>689</v>
      </c>
      <c r="W3" s="7" t="s">
        <v>1588</v>
      </c>
      <c r="X3" s="7" t="s">
        <v>692</v>
      </c>
      <c r="Y3" s="11" t="s">
        <v>682</v>
      </c>
      <c r="Z3" s="7">
        <v>25000</v>
      </c>
      <c r="AA3" s="11" t="s">
        <v>80</v>
      </c>
      <c r="AB3" s="11" t="s">
        <v>80</v>
      </c>
      <c r="AC3" s="11" t="s">
        <v>81</v>
      </c>
      <c r="AD3" s="11" t="s">
        <v>693</v>
      </c>
    </row>
    <row r="4" spans="1:30">
      <c r="A4" s="11" t="s">
        <v>116</v>
      </c>
      <c r="B4" s="17">
        <v>10000</v>
      </c>
      <c r="C4" s="17" t="s">
        <v>553</v>
      </c>
      <c r="D4" s="17" t="s">
        <v>565</v>
      </c>
      <c r="E4" s="17">
        <v>15000</v>
      </c>
      <c r="F4" s="17" t="s">
        <v>543</v>
      </c>
      <c r="G4" s="17" t="s">
        <v>544</v>
      </c>
      <c r="H4" s="17">
        <v>135750</v>
      </c>
      <c r="I4" s="17" t="s">
        <v>553</v>
      </c>
      <c r="J4" s="17">
        <v>100000</v>
      </c>
      <c r="K4" s="17" t="s">
        <v>553</v>
      </c>
      <c r="L4" s="17" t="s">
        <v>596</v>
      </c>
      <c r="M4" s="17">
        <v>28900</v>
      </c>
      <c r="N4" s="17" t="s">
        <v>543</v>
      </c>
      <c r="O4" s="17" t="s">
        <v>596</v>
      </c>
      <c r="P4" s="17">
        <v>119100</v>
      </c>
      <c r="Q4" s="17" t="s">
        <v>543</v>
      </c>
      <c r="R4" s="17">
        <v>38100</v>
      </c>
      <c r="S4" s="17" t="s">
        <v>553</v>
      </c>
      <c r="T4" s="17" t="s">
        <v>596</v>
      </c>
      <c r="U4" s="38" t="s">
        <v>80</v>
      </c>
      <c r="V4" s="7" t="s">
        <v>686</v>
      </c>
      <c r="W4" s="7" t="s">
        <v>1226</v>
      </c>
      <c r="X4" s="7" t="s">
        <v>1611</v>
      </c>
      <c r="Y4" s="7" t="s">
        <v>684</v>
      </c>
      <c r="Z4" s="7">
        <v>5000</v>
      </c>
      <c r="AA4" s="11" t="s">
        <v>81</v>
      </c>
      <c r="AB4" s="11" t="s">
        <v>81</v>
      </c>
      <c r="AC4" s="11" t="s">
        <v>80</v>
      </c>
      <c r="AD4" s="11" t="s">
        <v>427</v>
      </c>
    </row>
    <row r="5" spans="1:30">
      <c r="A5" s="11" t="s">
        <v>116</v>
      </c>
      <c r="B5" s="17">
        <v>45000</v>
      </c>
      <c r="C5" s="17" t="s">
        <v>553</v>
      </c>
      <c r="D5" s="17" t="s">
        <v>596</v>
      </c>
      <c r="E5" s="17">
        <v>12500</v>
      </c>
      <c r="F5" s="17" t="s">
        <v>553</v>
      </c>
      <c r="G5" s="17" t="s">
        <v>596</v>
      </c>
      <c r="H5" s="17">
        <v>148000</v>
      </c>
      <c r="I5" s="17" t="s">
        <v>543</v>
      </c>
      <c r="J5" s="17">
        <v>61400</v>
      </c>
      <c r="K5" s="17" t="s">
        <v>543</v>
      </c>
      <c r="L5" s="17" t="s">
        <v>544</v>
      </c>
      <c r="M5" s="17">
        <v>35200</v>
      </c>
      <c r="N5" s="17" t="s">
        <v>553</v>
      </c>
      <c r="O5" s="17" t="s">
        <v>544</v>
      </c>
      <c r="P5" s="17">
        <v>133800</v>
      </c>
      <c r="Q5" s="17" t="s">
        <v>543</v>
      </c>
      <c r="R5" s="17">
        <v>45800</v>
      </c>
      <c r="S5" s="17" t="s">
        <v>543</v>
      </c>
      <c r="T5" s="17" t="s">
        <v>544</v>
      </c>
      <c r="U5" s="38" t="s">
        <v>80</v>
      </c>
      <c r="V5" s="7" t="s">
        <v>694</v>
      </c>
      <c r="W5" s="7" t="s">
        <v>695</v>
      </c>
      <c r="X5" s="7" t="s">
        <v>696</v>
      </c>
      <c r="Y5" s="11" t="s">
        <v>682</v>
      </c>
      <c r="Z5" s="7">
        <v>50000</v>
      </c>
      <c r="AA5" s="11" t="s">
        <v>80</v>
      </c>
      <c r="AB5" s="11" t="s">
        <v>81</v>
      </c>
      <c r="AC5" s="11" t="s">
        <v>81</v>
      </c>
      <c r="AD5" s="11" t="s">
        <v>434</v>
      </c>
    </row>
    <row r="6" spans="1:30">
      <c r="A6" s="11" t="s">
        <v>116</v>
      </c>
      <c r="B6" s="17">
        <v>10000</v>
      </c>
      <c r="C6" s="17" t="s">
        <v>553</v>
      </c>
      <c r="D6" s="17" t="s">
        <v>544</v>
      </c>
      <c r="E6" s="17">
        <v>20000</v>
      </c>
      <c r="F6" s="17" t="s">
        <v>543</v>
      </c>
      <c r="G6" s="17" t="s">
        <v>544</v>
      </c>
      <c r="H6" s="17">
        <v>153250</v>
      </c>
      <c r="I6" s="17" t="s">
        <v>543</v>
      </c>
      <c r="J6" s="17">
        <v>65300</v>
      </c>
      <c r="K6" s="17" t="s">
        <v>543</v>
      </c>
      <c r="L6" s="17" t="s">
        <v>596</v>
      </c>
      <c r="M6" s="17">
        <v>37900</v>
      </c>
      <c r="N6" s="17" t="s">
        <v>543</v>
      </c>
      <c r="O6" s="17" t="s">
        <v>596</v>
      </c>
      <c r="P6" s="17">
        <v>140100</v>
      </c>
      <c r="Q6" s="17" t="s">
        <v>553</v>
      </c>
      <c r="R6" s="17">
        <v>49100</v>
      </c>
      <c r="S6" s="17" t="s">
        <v>553</v>
      </c>
      <c r="T6" s="17" t="s">
        <v>596</v>
      </c>
      <c r="U6" s="38" t="s">
        <v>81</v>
      </c>
      <c r="V6" s="7" t="s">
        <v>680</v>
      </c>
      <c r="W6" s="7" t="s">
        <v>1589</v>
      </c>
      <c r="X6" s="7" t="s">
        <v>1612</v>
      </c>
      <c r="Y6" s="7" t="s">
        <v>684</v>
      </c>
      <c r="Z6" s="7">
        <v>1000</v>
      </c>
      <c r="AA6" s="11" t="s">
        <v>81</v>
      </c>
      <c r="AB6" s="11" t="s">
        <v>81</v>
      </c>
      <c r="AC6" s="11" t="s">
        <v>80</v>
      </c>
      <c r="AD6" s="11" t="s">
        <v>441</v>
      </c>
    </row>
    <row r="7" spans="1:30">
      <c r="A7" s="11" t="s">
        <v>151</v>
      </c>
      <c r="B7" s="17">
        <v>30000</v>
      </c>
      <c r="C7" s="17" t="s">
        <v>543</v>
      </c>
      <c r="D7" s="17" t="s">
        <v>596</v>
      </c>
      <c r="E7" s="17">
        <v>10000</v>
      </c>
      <c r="F7" s="17" t="s">
        <v>553</v>
      </c>
      <c r="G7" s="17" t="s">
        <v>565</v>
      </c>
      <c r="H7" s="17">
        <v>158500</v>
      </c>
      <c r="I7" s="17" t="s">
        <v>543</v>
      </c>
      <c r="J7" s="17">
        <v>69200</v>
      </c>
      <c r="K7" s="17" t="s">
        <v>543</v>
      </c>
      <c r="L7" s="17" t="s">
        <v>544</v>
      </c>
      <c r="M7" s="17">
        <v>40600</v>
      </c>
      <c r="N7" s="17" t="s">
        <v>543</v>
      </c>
      <c r="O7" s="17" t="s">
        <v>544</v>
      </c>
      <c r="P7" s="17">
        <v>146400</v>
      </c>
      <c r="Q7" s="17" t="s">
        <v>543</v>
      </c>
      <c r="R7" s="17">
        <v>52400</v>
      </c>
      <c r="S7" s="17" t="s">
        <v>543</v>
      </c>
      <c r="T7" s="17" t="s">
        <v>544</v>
      </c>
      <c r="U7" s="38" t="s">
        <v>80</v>
      </c>
      <c r="V7" s="7" t="s">
        <v>697</v>
      </c>
      <c r="W7" s="7" t="s">
        <v>1590</v>
      </c>
      <c r="X7" s="7" t="s">
        <v>1613</v>
      </c>
      <c r="Y7" s="11" t="s">
        <v>682</v>
      </c>
      <c r="Z7" s="7">
        <v>7500</v>
      </c>
      <c r="AA7" s="11" t="s">
        <v>80</v>
      </c>
      <c r="AB7" s="11" t="s">
        <v>81</v>
      </c>
      <c r="AC7" s="11" t="s">
        <v>81</v>
      </c>
      <c r="AD7" s="11" t="s">
        <v>434</v>
      </c>
    </row>
    <row r="8" spans="1:30">
      <c r="A8" s="11" t="s">
        <v>151</v>
      </c>
      <c r="B8" s="17">
        <v>45000</v>
      </c>
      <c r="C8" s="17" t="s">
        <v>543</v>
      </c>
      <c r="D8" s="17" t="s">
        <v>544</v>
      </c>
      <c r="E8" s="17">
        <v>17500</v>
      </c>
      <c r="F8" s="17" t="s">
        <v>553</v>
      </c>
      <c r="G8" s="17" t="s">
        <v>565</v>
      </c>
      <c r="H8" s="17">
        <v>163750</v>
      </c>
      <c r="I8" s="17" t="s">
        <v>553</v>
      </c>
      <c r="J8" s="17">
        <v>73100</v>
      </c>
      <c r="K8" s="17" t="s">
        <v>553</v>
      </c>
      <c r="L8" s="17" t="s">
        <v>596</v>
      </c>
      <c r="M8" s="17">
        <v>43300</v>
      </c>
      <c r="N8" s="17" t="s">
        <v>553</v>
      </c>
      <c r="O8" s="17" t="s">
        <v>596</v>
      </c>
      <c r="P8" s="17">
        <v>152700</v>
      </c>
      <c r="Q8" s="17" t="s">
        <v>553</v>
      </c>
      <c r="R8" s="17">
        <v>55700</v>
      </c>
      <c r="S8" s="17" t="s">
        <v>543</v>
      </c>
      <c r="T8" s="17" t="s">
        <v>596</v>
      </c>
      <c r="U8" s="38" t="s">
        <v>81</v>
      </c>
      <c r="V8" s="7" t="s">
        <v>694</v>
      </c>
      <c r="W8" s="7" t="s">
        <v>1591</v>
      </c>
      <c r="X8" s="7" t="s">
        <v>1614</v>
      </c>
      <c r="Y8" s="7" t="s">
        <v>684</v>
      </c>
      <c r="Z8" s="7">
        <v>7500</v>
      </c>
      <c r="AA8" s="11" t="s">
        <v>81</v>
      </c>
      <c r="AB8" s="11" t="s">
        <v>81</v>
      </c>
      <c r="AC8" s="11" t="s">
        <v>81</v>
      </c>
      <c r="AD8" s="11" t="s">
        <v>441</v>
      </c>
    </row>
    <row r="9" spans="1:30">
      <c r="A9" s="11" t="s">
        <v>188</v>
      </c>
      <c r="B9" s="17">
        <v>5000</v>
      </c>
      <c r="C9" s="17" t="s">
        <v>543</v>
      </c>
      <c r="D9" s="17" t="s">
        <v>596</v>
      </c>
      <c r="E9" s="17">
        <v>2500</v>
      </c>
      <c r="F9" s="17" t="s">
        <v>553</v>
      </c>
      <c r="G9" s="17" t="s">
        <v>544</v>
      </c>
      <c r="H9" s="17">
        <v>167250</v>
      </c>
      <c r="I9" s="17" t="s">
        <v>543</v>
      </c>
      <c r="J9" s="17">
        <v>100000</v>
      </c>
      <c r="K9" s="17" t="s">
        <v>543</v>
      </c>
      <c r="L9" s="17" t="s">
        <v>544</v>
      </c>
      <c r="M9" s="17">
        <v>45100</v>
      </c>
      <c r="N9" s="17" t="s">
        <v>543</v>
      </c>
      <c r="O9" s="17" t="s">
        <v>544</v>
      </c>
      <c r="P9" s="17">
        <v>156900</v>
      </c>
      <c r="Q9" s="17" t="s">
        <v>543</v>
      </c>
      <c r="R9" s="17">
        <v>57900</v>
      </c>
      <c r="S9" s="17" t="s">
        <v>543</v>
      </c>
      <c r="T9" s="17" t="s">
        <v>544</v>
      </c>
      <c r="U9" s="38" t="s">
        <v>80</v>
      </c>
      <c r="V9" s="7" t="s">
        <v>694</v>
      </c>
      <c r="W9" s="7" t="s">
        <v>1592</v>
      </c>
      <c r="X9" s="7" t="s">
        <v>698</v>
      </c>
      <c r="Y9" s="11" t="s">
        <v>682</v>
      </c>
      <c r="Z9" s="7">
        <v>1000</v>
      </c>
      <c r="AA9" s="11" t="s">
        <v>81</v>
      </c>
      <c r="AB9" s="11" t="s">
        <v>81</v>
      </c>
      <c r="AC9" s="11" t="s">
        <v>80</v>
      </c>
      <c r="AD9" s="11" t="s">
        <v>447</v>
      </c>
    </row>
    <row r="10" spans="1:30">
      <c r="A10" s="11" t="s">
        <v>188</v>
      </c>
      <c r="B10" s="17">
        <v>10000</v>
      </c>
      <c r="C10" s="17" t="s">
        <v>553</v>
      </c>
      <c r="D10" s="17" t="s">
        <v>544</v>
      </c>
      <c r="E10" s="17">
        <v>5000</v>
      </c>
      <c r="F10" s="17" t="s">
        <v>543</v>
      </c>
      <c r="G10" s="17" t="s">
        <v>565</v>
      </c>
      <c r="H10" s="17">
        <v>169000</v>
      </c>
      <c r="I10" s="17" t="s">
        <v>553</v>
      </c>
      <c r="J10" s="17">
        <v>100000</v>
      </c>
      <c r="K10" s="17" t="s">
        <v>553</v>
      </c>
      <c r="L10" s="17" t="s">
        <v>565</v>
      </c>
      <c r="M10" s="17">
        <v>46000</v>
      </c>
      <c r="N10" s="17" t="s">
        <v>553</v>
      </c>
      <c r="O10" s="17" t="s">
        <v>565</v>
      </c>
      <c r="P10" s="17">
        <v>159000</v>
      </c>
      <c r="Q10" s="17" t="s">
        <v>543</v>
      </c>
      <c r="R10" s="17">
        <v>59000</v>
      </c>
      <c r="S10" s="17" t="s">
        <v>553</v>
      </c>
      <c r="T10" s="17" t="s">
        <v>565</v>
      </c>
      <c r="U10" s="38" t="s">
        <v>81</v>
      </c>
      <c r="V10" s="7" t="s">
        <v>686</v>
      </c>
      <c r="W10" s="7" t="s">
        <v>1589</v>
      </c>
      <c r="X10" s="7" t="s">
        <v>1615</v>
      </c>
      <c r="Y10" s="7" t="s">
        <v>684</v>
      </c>
      <c r="Z10" s="7">
        <v>50000</v>
      </c>
      <c r="AA10" s="11" t="s">
        <v>80</v>
      </c>
      <c r="AB10" s="11" t="s">
        <v>81</v>
      </c>
      <c r="AC10" s="11" t="s">
        <v>80</v>
      </c>
      <c r="AD10" s="11" t="s">
        <v>449</v>
      </c>
    </row>
    <row r="11" spans="1:30">
      <c r="A11" s="11" t="s">
        <v>188</v>
      </c>
      <c r="B11" s="17">
        <v>40000</v>
      </c>
      <c r="C11" s="17" t="s">
        <v>543</v>
      </c>
      <c r="D11" s="17" t="s">
        <v>565</v>
      </c>
      <c r="E11" s="17">
        <v>20000</v>
      </c>
      <c r="F11" s="17" t="s">
        <v>543</v>
      </c>
      <c r="G11" s="17" t="s">
        <v>565</v>
      </c>
      <c r="H11" s="17">
        <v>179500</v>
      </c>
      <c r="I11" s="17" t="s">
        <v>543</v>
      </c>
      <c r="J11" s="17">
        <v>84800</v>
      </c>
      <c r="K11" s="17" t="s">
        <v>543</v>
      </c>
      <c r="L11" s="17" t="s">
        <v>565</v>
      </c>
      <c r="M11" s="17">
        <v>11400</v>
      </c>
      <c r="N11" s="17" t="s">
        <v>543</v>
      </c>
      <c r="O11" s="17" t="s">
        <v>565</v>
      </c>
      <c r="P11" s="17">
        <v>171600</v>
      </c>
      <c r="Q11" s="17" t="s">
        <v>543</v>
      </c>
      <c r="R11" s="17">
        <v>65600</v>
      </c>
      <c r="S11" s="17" t="s">
        <v>543</v>
      </c>
      <c r="T11" s="17" t="s">
        <v>565</v>
      </c>
      <c r="U11" s="38" t="s">
        <v>80</v>
      </c>
      <c r="V11" s="7" t="s">
        <v>685</v>
      </c>
      <c r="W11" s="7" t="s">
        <v>1593</v>
      </c>
      <c r="X11" s="7" t="s">
        <v>1616</v>
      </c>
      <c r="Y11" s="11" t="s">
        <v>682</v>
      </c>
      <c r="Z11" s="7">
        <v>5000</v>
      </c>
      <c r="AA11" s="11" t="s">
        <v>80</v>
      </c>
      <c r="AB11" s="11" t="s">
        <v>81</v>
      </c>
      <c r="AC11" s="11" t="s">
        <v>80</v>
      </c>
      <c r="AD11" s="11" t="s">
        <v>439</v>
      </c>
    </row>
    <row r="12" spans="1:30">
      <c r="A12" s="11" t="s">
        <v>217</v>
      </c>
      <c r="B12" s="17">
        <v>20000</v>
      </c>
      <c r="C12" s="17" t="s">
        <v>553</v>
      </c>
      <c r="D12" s="17" t="s">
        <v>565</v>
      </c>
      <c r="E12" s="17">
        <v>15000</v>
      </c>
      <c r="F12" s="17" t="s">
        <v>543</v>
      </c>
      <c r="G12" s="17" t="s">
        <v>596</v>
      </c>
      <c r="H12" s="17">
        <v>190000</v>
      </c>
      <c r="I12" s="17" t="s">
        <v>543</v>
      </c>
      <c r="J12" s="17">
        <v>92600</v>
      </c>
      <c r="K12" s="17" t="s">
        <v>543</v>
      </c>
      <c r="L12" s="17" t="s">
        <v>544</v>
      </c>
      <c r="M12" s="17">
        <v>16800</v>
      </c>
      <c r="N12" s="17" t="s">
        <v>543</v>
      </c>
      <c r="O12" s="17" t="s">
        <v>544</v>
      </c>
      <c r="P12" s="17">
        <v>184200</v>
      </c>
      <c r="Q12" s="17" t="s">
        <v>553</v>
      </c>
      <c r="R12" s="17">
        <v>72200</v>
      </c>
      <c r="S12" s="17" t="s">
        <v>553</v>
      </c>
      <c r="T12" s="17" t="s">
        <v>544</v>
      </c>
      <c r="U12" s="38" t="s">
        <v>80</v>
      </c>
      <c r="V12" s="7" t="s">
        <v>689</v>
      </c>
      <c r="W12" s="7" t="s">
        <v>1594</v>
      </c>
      <c r="X12" s="7" t="s">
        <v>1617</v>
      </c>
      <c r="Y12" s="7" t="s">
        <v>684</v>
      </c>
      <c r="Z12" s="7">
        <v>50000</v>
      </c>
      <c r="AA12" s="11" t="s">
        <v>80</v>
      </c>
      <c r="AB12" s="11" t="s">
        <v>81</v>
      </c>
      <c r="AC12" s="11" t="s">
        <v>81</v>
      </c>
      <c r="AD12" s="11" t="s">
        <v>441</v>
      </c>
    </row>
    <row r="13" spans="1:30">
      <c r="A13" s="11" t="s">
        <v>217</v>
      </c>
      <c r="B13" s="17">
        <v>25000</v>
      </c>
      <c r="C13" s="17" t="s">
        <v>543</v>
      </c>
      <c r="D13" s="17" t="s">
        <v>544</v>
      </c>
      <c r="E13" s="17">
        <v>17500</v>
      </c>
      <c r="F13" s="17" t="s">
        <v>553</v>
      </c>
      <c r="G13" s="17" t="s">
        <v>544</v>
      </c>
      <c r="H13" s="17">
        <v>191750</v>
      </c>
      <c r="I13" s="17" t="s">
        <v>553</v>
      </c>
      <c r="J13" s="17">
        <v>93900</v>
      </c>
      <c r="K13" s="17" t="s">
        <v>553</v>
      </c>
      <c r="L13" s="17" t="s">
        <v>565</v>
      </c>
      <c r="M13" s="17">
        <v>17700</v>
      </c>
      <c r="N13" s="17" t="s">
        <v>543</v>
      </c>
      <c r="O13" s="17" t="s">
        <v>565</v>
      </c>
      <c r="P13" s="17">
        <v>186300</v>
      </c>
      <c r="Q13" s="17" t="s">
        <v>543</v>
      </c>
      <c r="R13" s="17">
        <v>73300</v>
      </c>
      <c r="S13" s="17" t="s">
        <v>543</v>
      </c>
      <c r="T13" s="17" t="s">
        <v>565</v>
      </c>
      <c r="U13" s="38" t="s">
        <v>80</v>
      </c>
      <c r="V13" s="7" t="s">
        <v>685</v>
      </c>
      <c r="W13" s="7" t="s">
        <v>1595</v>
      </c>
      <c r="X13" s="7" t="s">
        <v>699</v>
      </c>
      <c r="Y13" s="11" t="s">
        <v>682</v>
      </c>
      <c r="Z13" s="7">
        <v>15000</v>
      </c>
      <c r="AA13" s="11" t="s">
        <v>81</v>
      </c>
      <c r="AB13" s="11" t="s">
        <v>80</v>
      </c>
      <c r="AC13" s="11" t="s">
        <v>80</v>
      </c>
      <c r="AD13" s="11" t="s">
        <v>445</v>
      </c>
    </row>
    <row r="14" spans="1:30">
      <c r="A14" s="11" t="s">
        <v>217</v>
      </c>
      <c r="B14" s="17">
        <v>30000</v>
      </c>
      <c r="C14" s="17" t="s">
        <v>543</v>
      </c>
      <c r="D14" s="17" t="s">
        <v>565</v>
      </c>
      <c r="E14" s="17">
        <v>20000</v>
      </c>
      <c r="F14" s="17" t="s">
        <v>543</v>
      </c>
      <c r="G14" s="17" t="s">
        <v>596</v>
      </c>
      <c r="H14" s="17">
        <v>193500</v>
      </c>
      <c r="I14" s="17" t="s">
        <v>543</v>
      </c>
      <c r="J14" s="17">
        <v>100000</v>
      </c>
      <c r="K14" s="17" t="s">
        <v>543</v>
      </c>
      <c r="L14" s="17" t="s">
        <v>565</v>
      </c>
      <c r="M14" s="17">
        <v>18600</v>
      </c>
      <c r="N14" s="17" t="s">
        <v>553</v>
      </c>
      <c r="O14" s="17" t="s">
        <v>565</v>
      </c>
      <c r="P14" s="17">
        <v>188400</v>
      </c>
      <c r="Q14" s="17" t="s">
        <v>553</v>
      </c>
      <c r="R14" s="17">
        <v>74400</v>
      </c>
      <c r="S14" s="17" t="s">
        <v>543</v>
      </c>
      <c r="T14" s="17" t="s">
        <v>565</v>
      </c>
      <c r="U14" s="38" t="s">
        <v>81</v>
      </c>
      <c r="V14" s="7" t="s">
        <v>694</v>
      </c>
      <c r="W14" s="7" t="s">
        <v>700</v>
      </c>
      <c r="X14" s="7" t="s">
        <v>701</v>
      </c>
      <c r="Y14" s="7" t="s">
        <v>684</v>
      </c>
      <c r="Z14" s="7">
        <v>1000</v>
      </c>
      <c r="AA14" s="11" t="s">
        <v>80</v>
      </c>
      <c r="AB14" s="11" t="s">
        <v>80</v>
      </c>
      <c r="AC14" s="11" t="s">
        <v>81</v>
      </c>
      <c r="AD14" s="11" t="s">
        <v>447</v>
      </c>
    </row>
    <row r="15" spans="1:30">
      <c r="A15" s="11" t="s">
        <v>217</v>
      </c>
      <c r="B15" s="17">
        <v>5000</v>
      </c>
      <c r="C15" s="17" t="s">
        <v>553</v>
      </c>
      <c r="D15" s="17" t="s">
        <v>565</v>
      </c>
      <c r="E15" s="17">
        <v>12500</v>
      </c>
      <c r="F15" s="17" t="s">
        <v>553</v>
      </c>
      <c r="G15" s="17" t="s">
        <v>544</v>
      </c>
      <c r="H15" s="17">
        <v>202250</v>
      </c>
      <c r="I15" s="17" t="s">
        <v>553</v>
      </c>
      <c r="J15" s="17">
        <v>31700</v>
      </c>
      <c r="K15" s="17" t="s">
        <v>553</v>
      </c>
      <c r="L15" s="17" t="s">
        <v>596</v>
      </c>
      <c r="M15" s="17">
        <v>23100</v>
      </c>
      <c r="N15" s="17" t="s">
        <v>543</v>
      </c>
      <c r="O15" s="17" t="s">
        <v>596</v>
      </c>
      <c r="P15" s="17">
        <v>198900</v>
      </c>
      <c r="Q15" s="17" t="s">
        <v>543</v>
      </c>
      <c r="R15" s="17">
        <v>79900</v>
      </c>
      <c r="S15" s="17" t="s">
        <v>553</v>
      </c>
      <c r="T15" s="17" t="s">
        <v>596</v>
      </c>
      <c r="U15" s="38" t="s">
        <v>80</v>
      </c>
      <c r="V15" s="7" t="s">
        <v>694</v>
      </c>
      <c r="W15" s="7" t="s">
        <v>1596</v>
      </c>
      <c r="X15" s="7" t="s">
        <v>1618</v>
      </c>
      <c r="Y15" s="11" t="s">
        <v>682</v>
      </c>
      <c r="Z15" s="7">
        <v>50000</v>
      </c>
      <c r="AA15" s="11" t="s">
        <v>81</v>
      </c>
      <c r="AB15" s="11" t="s">
        <v>81</v>
      </c>
      <c r="AC15" s="11" t="s">
        <v>80</v>
      </c>
      <c r="AD15" s="11" t="s">
        <v>449</v>
      </c>
    </row>
    <row r="16" spans="1:30">
      <c r="A16" s="11" t="s">
        <v>217</v>
      </c>
      <c r="B16" s="17">
        <v>10000</v>
      </c>
      <c r="C16" s="17" t="s">
        <v>543</v>
      </c>
      <c r="D16" s="17" t="s">
        <v>596</v>
      </c>
      <c r="E16" s="17">
        <v>15000</v>
      </c>
      <c r="F16" s="17" t="s">
        <v>543</v>
      </c>
      <c r="G16" s="17" t="s">
        <v>596</v>
      </c>
      <c r="H16" s="17">
        <v>204000</v>
      </c>
      <c r="I16" s="17" t="s">
        <v>543</v>
      </c>
      <c r="J16" s="17">
        <v>100000</v>
      </c>
      <c r="K16" s="17" t="s">
        <v>543</v>
      </c>
      <c r="L16" s="17" t="s">
        <v>544</v>
      </c>
      <c r="M16" s="17">
        <v>24000</v>
      </c>
      <c r="N16" s="17" t="s">
        <v>553</v>
      </c>
      <c r="O16" s="17" t="s">
        <v>544</v>
      </c>
      <c r="P16" s="17">
        <v>201000</v>
      </c>
      <c r="Q16" s="17" t="s">
        <v>543</v>
      </c>
      <c r="R16" s="17">
        <v>81000</v>
      </c>
      <c r="S16" s="17" t="s">
        <v>543</v>
      </c>
      <c r="T16" s="17" t="s">
        <v>544</v>
      </c>
      <c r="U16" s="38" t="s">
        <v>80</v>
      </c>
      <c r="V16" s="7" t="s">
        <v>694</v>
      </c>
      <c r="W16" s="7" t="s">
        <v>1597</v>
      </c>
      <c r="X16" s="7" t="s">
        <v>702</v>
      </c>
      <c r="Y16" s="7" t="s">
        <v>684</v>
      </c>
      <c r="Z16" s="7">
        <v>50000</v>
      </c>
      <c r="AA16" s="11" t="s">
        <v>80</v>
      </c>
      <c r="AB16" s="11" t="s">
        <v>80</v>
      </c>
      <c r="AC16" s="11" t="s">
        <v>81</v>
      </c>
      <c r="AD16" s="11" t="s">
        <v>449</v>
      </c>
    </row>
    <row r="17" spans="1:30">
      <c r="A17" s="11" t="s">
        <v>217</v>
      </c>
      <c r="B17" s="17">
        <v>45000</v>
      </c>
      <c r="C17" s="17" t="s">
        <v>553</v>
      </c>
      <c r="D17" s="17" t="s">
        <v>544</v>
      </c>
      <c r="E17" s="17">
        <v>12500</v>
      </c>
      <c r="F17" s="17" t="s">
        <v>543</v>
      </c>
      <c r="G17" s="17" t="s">
        <v>544</v>
      </c>
      <c r="H17" s="17">
        <v>216250</v>
      </c>
      <c r="I17" s="17" t="s">
        <v>543</v>
      </c>
      <c r="J17" s="17">
        <v>42100</v>
      </c>
      <c r="K17" s="17" t="s">
        <v>543</v>
      </c>
      <c r="L17" s="17" t="s">
        <v>596</v>
      </c>
      <c r="M17" s="17">
        <v>30300</v>
      </c>
      <c r="N17" s="17" t="s">
        <v>543</v>
      </c>
      <c r="O17" s="17" t="s">
        <v>596</v>
      </c>
      <c r="P17" s="17">
        <v>215700</v>
      </c>
      <c r="Q17" s="17" t="s">
        <v>553</v>
      </c>
      <c r="R17" s="17">
        <v>88700</v>
      </c>
      <c r="S17" s="17" t="s">
        <v>553</v>
      </c>
      <c r="T17" s="17" t="s">
        <v>596</v>
      </c>
      <c r="U17" s="38" t="s">
        <v>80</v>
      </c>
      <c r="V17" s="7" t="s">
        <v>686</v>
      </c>
      <c r="W17" s="7" t="s">
        <v>1598</v>
      </c>
      <c r="X17" s="7" t="s">
        <v>1619</v>
      </c>
      <c r="Y17" s="11" t="s">
        <v>682</v>
      </c>
      <c r="Z17" s="7">
        <v>7500</v>
      </c>
      <c r="AA17" s="11" t="s">
        <v>81</v>
      </c>
      <c r="AB17" s="11" t="s">
        <v>80</v>
      </c>
      <c r="AC17" s="11" t="s">
        <v>81</v>
      </c>
      <c r="AD17" s="11" t="s">
        <v>456</v>
      </c>
    </row>
    <row r="18" spans="1:30">
      <c r="A18" s="11" t="s">
        <v>217</v>
      </c>
      <c r="B18" s="17">
        <v>15000</v>
      </c>
      <c r="C18" s="17" t="s">
        <v>553</v>
      </c>
      <c r="D18" s="17" t="s">
        <v>596</v>
      </c>
      <c r="E18" s="17">
        <v>2500</v>
      </c>
      <c r="F18" s="17" t="s">
        <v>553</v>
      </c>
      <c r="G18" s="17" t="s">
        <v>565</v>
      </c>
      <c r="H18" s="17">
        <v>223250</v>
      </c>
      <c r="I18" s="17" t="s">
        <v>543</v>
      </c>
      <c r="J18" s="17">
        <v>47300</v>
      </c>
      <c r="K18" s="17" t="s">
        <v>543</v>
      </c>
      <c r="L18" s="17" t="s">
        <v>544</v>
      </c>
      <c r="M18" s="17">
        <v>33900</v>
      </c>
      <c r="N18" s="17" t="s">
        <v>543</v>
      </c>
      <c r="O18" s="17" t="s">
        <v>544</v>
      </c>
      <c r="P18" s="17">
        <v>224100</v>
      </c>
      <c r="Q18" s="17" t="s">
        <v>543</v>
      </c>
      <c r="R18" s="17">
        <v>93100</v>
      </c>
      <c r="S18" s="17" t="s">
        <v>543</v>
      </c>
      <c r="T18" s="17" t="s">
        <v>544</v>
      </c>
      <c r="U18" s="38" t="s">
        <v>80</v>
      </c>
      <c r="V18" s="7" t="s">
        <v>689</v>
      </c>
      <c r="W18" s="7" t="s">
        <v>1599</v>
      </c>
      <c r="X18" s="7" t="s">
        <v>703</v>
      </c>
      <c r="Y18" s="7" t="s">
        <v>684</v>
      </c>
      <c r="Z18" s="7">
        <v>15000</v>
      </c>
      <c r="AA18" s="11" t="s">
        <v>81</v>
      </c>
      <c r="AB18" s="11" t="s">
        <v>80</v>
      </c>
      <c r="AC18" s="11" t="s">
        <v>80</v>
      </c>
      <c r="AD18" s="11" t="s">
        <v>459</v>
      </c>
    </row>
    <row r="19" spans="1:30">
      <c r="A19" s="11" t="s">
        <v>217</v>
      </c>
      <c r="B19" s="17">
        <v>20000</v>
      </c>
      <c r="C19" s="17" t="s">
        <v>553</v>
      </c>
      <c r="D19" s="17" t="s">
        <v>544</v>
      </c>
      <c r="E19" s="17">
        <v>5000</v>
      </c>
      <c r="F19" s="17" t="s">
        <v>543</v>
      </c>
      <c r="G19" s="17" t="s">
        <v>544</v>
      </c>
      <c r="H19" s="17">
        <v>225000</v>
      </c>
      <c r="I19" s="17" t="s">
        <v>553</v>
      </c>
      <c r="J19" s="17">
        <v>100000</v>
      </c>
      <c r="K19" s="17" t="s">
        <v>553</v>
      </c>
      <c r="L19" s="17" t="s">
        <v>596</v>
      </c>
      <c r="M19" s="17">
        <v>34800</v>
      </c>
      <c r="N19" s="17" t="s">
        <v>553</v>
      </c>
      <c r="O19" s="17" t="s">
        <v>596</v>
      </c>
      <c r="P19" s="17">
        <v>226200</v>
      </c>
      <c r="Q19" s="17" t="s">
        <v>553</v>
      </c>
      <c r="R19" s="17">
        <v>94200</v>
      </c>
      <c r="S19" s="17" t="s">
        <v>543</v>
      </c>
      <c r="T19" s="17" t="s">
        <v>596</v>
      </c>
      <c r="U19" s="38" t="s">
        <v>81</v>
      </c>
      <c r="V19" s="7" t="s">
        <v>689</v>
      </c>
      <c r="W19" s="7" t="s">
        <v>1600</v>
      </c>
      <c r="X19" s="7" t="s">
        <v>1620</v>
      </c>
      <c r="Y19" s="11" t="s">
        <v>682</v>
      </c>
      <c r="Z19" s="7">
        <v>50000</v>
      </c>
      <c r="AA19" s="11" t="s">
        <v>80</v>
      </c>
      <c r="AB19" s="11" t="s">
        <v>81</v>
      </c>
      <c r="AC19" s="11" t="s">
        <v>81</v>
      </c>
      <c r="AD19" s="11" t="s">
        <v>465</v>
      </c>
    </row>
    <row r="20" spans="1:30">
      <c r="A20" s="11" t="s">
        <v>217</v>
      </c>
      <c r="B20" s="17">
        <v>25000</v>
      </c>
      <c r="C20" s="17" t="s">
        <v>543</v>
      </c>
      <c r="D20" s="17" t="s">
        <v>596</v>
      </c>
      <c r="E20" s="17">
        <v>7500</v>
      </c>
      <c r="F20" s="17" t="s">
        <v>553</v>
      </c>
      <c r="G20" s="17" t="s">
        <v>565</v>
      </c>
      <c r="H20" s="17">
        <v>51750</v>
      </c>
      <c r="I20" s="17" t="s">
        <v>543</v>
      </c>
      <c r="J20" s="17">
        <v>49900</v>
      </c>
      <c r="K20" s="17" t="s">
        <v>543</v>
      </c>
      <c r="L20" s="17" t="s">
        <v>544</v>
      </c>
      <c r="M20" s="17">
        <v>35700</v>
      </c>
      <c r="N20" s="17" t="s">
        <v>543</v>
      </c>
      <c r="O20" s="17" t="s">
        <v>544</v>
      </c>
      <c r="P20" s="17">
        <v>228300</v>
      </c>
      <c r="Q20" s="17" t="s">
        <v>543</v>
      </c>
      <c r="R20" s="17">
        <v>95300</v>
      </c>
      <c r="S20" s="17" t="s">
        <v>553</v>
      </c>
      <c r="T20" s="17" t="s">
        <v>544</v>
      </c>
      <c r="U20" s="38" t="s">
        <v>81</v>
      </c>
      <c r="V20" s="7" t="s">
        <v>697</v>
      </c>
      <c r="W20" s="7" t="s">
        <v>1601</v>
      </c>
      <c r="X20" s="7" t="s">
        <v>1621</v>
      </c>
      <c r="Y20" s="7" t="s">
        <v>684</v>
      </c>
      <c r="Z20" s="7">
        <v>50000</v>
      </c>
      <c r="AA20" s="11" t="s">
        <v>81</v>
      </c>
      <c r="AB20" s="11" t="s">
        <v>80</v>
      </c>
      <c r="AC20" s="11" t="s">
        <v>81</v>
      </c>
      <c r="AD20" s="11" t="s">
        <v>459</v>
      </c>
    </row>
    <row r="21" spans="1:30">
      <c r="A21" s="11" t="s">
        <v>217</v>
      </c>
      <c r="B21" s="17">
        <v>45000</v>
      </c>
      <c r="C21" s="17" t="s">
        <v>543</v>
      </c>
      <c r="D21" s="17" t="s">
        <v>544</v>
      </c>
      <c r="E21" s="17">
        <v>17500</v>
      </c>
      <c r="F21" s="17" t="s">
        <v>543</v>
      </c>
      <c r="G21" s="17" t="s">
        <v>565</v>
      </c>
      <c r="H21" s="17">
        <v>58750</v>
      </c>
      <c r="I21" s="17" t="s">
        <v>553</v>
      </c>
      <c r="J21" s="17">
        <v>55100</v>
      </c>
      <c r="K21" s="17" t="s">
        <v>553</v>
      </c>
      <c r="L21" s="17" t="s">
        <v>565</v>
      </c>
      <c r="M21" s="17">
        <v>39300</v>
      </c>
      <c r="N21" s="17" t="s">
        <v>553</v>
      </c>
      <c r="O21" s="17" t="s">
        <v>565</v>
      </c>
      <c r="P21" s="17">
        <v>236700</v>
      </c>
      <c r="Q21" s="17" t="s">
        <v>543</v>
      </c>
      <c r="R21" s="17">
        <v>99700</v>
      </c>
      <c r="S21" s="17" t="s">
        <v>543</v>
      </c>
      <c r="T21" s="17" t="s">
        <v>565</v>
      </c>
      <c r="U21" s="38" t="s">
        <v>80</v>
      </c>
      <c r="V21" s="7" t="s">
        <v>686</v>
      </c>
      <c r="W21" s="7" t="s">
        <v>1602</v>
      </c>
      <c r="X21" s="7" t="s">
        <v>1622</v>
      </c>
      <c r="Y21" s="11" t="s">
        <v>682</v>
      </c>
      <c r="Z21" s="7">
        <v>25000</v>
      </c>
      <c r="AA21" s="11" t="s">
        <v>81</v>
      </c>
      <c r="AB21" s="11" t="s">
        <v>81</v>
      </c>
      <c r="AC21" s="11" t="s">
        <v>80</v>
      </c>
      <c r="AD21" s="11" t="s">
        <v>467</v>
      </c>
    </row>
    <row r="22" spans="1:30">
      <c r="A22" s="11" t="s">
        <v>251</v>
      </c>
      <c r="B22" s="17">
        <v>20000</v>
      </c>
      <c r="C22" s="17" t="s">
        <v>553</v>
      </c>
      <c r="D22" s="17" t="s">
        <v>544</v>
      </c>
      <c r="E22" s="17">
        <v>5000</v>
      </c>
      <c r="F22" s="17" t="s">
        <v>543</v>
      </c>
      <c r="G22" s="17" t="s">
        <v>544</v>
      </c>
      <c r="H22" s="17">
        <v>225000</v>
      </c>
      <c r="I22" s="17" t="s">
        <v>553</v>
      </c>
      <c r="J22" s="17">
        <v>100000</v>
      </c>
      <c r="K22" s="17" t="s">
        <v>553</v>
      </c>
      <c r="L22" s="17" t="s">
        <v>596</v>
      </c>
      <c r="M22" s="17">
        <v>34800</v>
      </c>
      <c r="N22" s="17" t="s">
        <v>553</v>
      </c>
      <c r="O22" s="17" t="s">
        <v>596</v>
      </c>
      <c r="P22" s="17">
        <v>226200</v>
      </c>
      <c r="Q22" s="17" t="s">
        <v>553</v>
      </c>
      <c r="R22" s="17">
        <v>94200</v>
      </c>
      <c r="S22" s="17" t="s">
        <v>543</v>
      </c>
      <c r="T22" s="17" t="s">
        <v>596</v>
      </c>
      <c r="U22" s="38" t="s">
        <v>81</v>
      </c>
      <c r="V22" s="7" t="s">
        <v>689</v>
      </c>
      <c r="W22" s="7" t="s">
        <v>1600</v>
      </c>
      <c r="X22" s="7" t="s">
        <v>1620</v>
      </c>
      <c r="Y22" s="7" t="s">
        <v>684</v>
      </c>
      <c r="Z22" s="7">
        <v>50000</v>
      </c>
      <c r="AA22" s="11" t="s">
        <v>80</v>
      </c>
      <c r="AB22" s="11" t="s">
        <v>81</v>
      </c>
      <c r="AC22" s="11" t="s">
        <v>81</v>
      </c>
      <c r="AD22" s="11" t="s">
        <v>465</v>
      </c>
    </row>
    <row r="23" spans="1:30">
      <c r="A23" s="11" t="s">
        <v>251</v>
      </c>
      <c r="B23" s="17">
        <v>25000</v>
      </c>
      <c r="C23" s="17" t="s">
        <v>543</v>
      </c>
      <c r="D23" s="17" t="s">
        <v>596</v>
      </c>
      <c r="E23" s="17">
        <v>7500</v>
      </c>
      <c r="F23" s="17" t="s">
        <v>553</v>
      </c>
      <c r="G23" s="17" t="s">
        <v>565</v>
      </c>
      <c r="H23" s="17">
        <v>51750</v>
      </c>
      <c r="I23" s="17" t="s">
        <v>543</v>
      </c>
      <c r="J23" s="17">
        <v>49900</v>
      </c>
      <c r="K23" s="17" t="s">
        <v>543</v>
      </c>
      <c r="L23" s="17" t="s">
        <v>544</v>
      </c>
      <c r="M23" s="17">
        <v>35700</v>
      </c>
      <c r="N23" s="17" t="s">
        <v>543</v>
      </c>
      <c r="O23" s="17" t="s">
        <v>544</v>
      </c>
      <c r="P23" s="17">
        <v>228300</v>
      </c>
      <c r="Q23" s="17" t="s">
        <v>543</v>
      </c>
      <c r="R23" s="17">
        <v>95300</v>
      </c>
      <c r="S23" s="17" t="s">
        <v>553</v>
      </c>
      <c r="T23" s="17" t="s">
        <v>544</v>
      </c>
      <c r="U23" s="38" t="s">
        <v>81</v>
      </c>
      <c r="V23" s="7" t="s">
        <v>697</v>
      </c>
      <c r="W23" s="7" t="s">
        <v>1601</v>
      </c>
      <c r="X23" s="7" t="s">
        <v>1621</v>
      </c>
      <c r="Y23" s="11" t="s">
        <v>682</v>
      </c>
      <c r="Z23" s="7">
        <v>50000</v>
      </c>
      <c r="AA23" s="11" t="s">
        <v>81</v>
      </c>
      <c r="AB23" s="11" t="s">
        <v>80</v>
      </c>
      <c r="AC23" s="11" t="s">
        <v>81</v>
      </c>
      <c r="AD23" s="11" t="s">
        <v>459</v>
      </c>
    </row>
    <row r="24" spans="1:30">
      <c r="A24" s="11" t="s">
        <v>251</v>
      </c>
      <c r="B24" s="17">
        <v>45000</v>
      </c>
      <c r="C24" s="17" t="s">
        <v>543</v>
      </c>
      <c r="D24" s="17" t="s">
        <v>544</v>
      </c>
      <c r="E24" s="17">
        <v>17500</v>
      </c>
      <c r="F24" s="17" t="s">
        <v>543</v>
      </c>
      <c r="G24" s="17" t="s">
        <v>565</v>
      </c>
      <c r="H24" s="17">
        <v>58750</v>
      </c>
      <c r="I24" s="17" t="s">
        <v>553</v>
      </c>
      <c r="J24" s="17">
        <v>55100</v>
      </c>
      <c r="K24" s="17" t="s">
        <v>553</v>
      </c>
      <c r="L24" s="17" t="s">
        <v>565</v>
      </c>
      <c r="M24" s="17">
        <v>39300</v>
      </c>
      <c r="N24" s="17" t="s">
        <v>553</v>
      </c>
      <c r="O24" s="17" t="s">
        <v>565</v>
      </c>
      <c r="P24" s="17">
        <v>236700</v>
      </c>
      <c r="Q24" s="17" t="s">
        <v>543</v>
      </c>
      <c r="R24" s="17">
        <v>99700</v>
      </c>
      <c r="S24" s="17" t="s">
        <v>543</v>
      </c>
      <c r="T24" s="17" t="s">
        <v>565</v>
      </c>
      <c r="U24" s="38" t="s">
        <v>80</v>
      </c>
      <c r="V24" s="7" t="s">
        <v>686</v>
      </c>
      <c r="W24" s="7" t="s">
        <v>1602</v>
      </c>
      <c r="X24" s="7" t="s">
        <v>1622</v>
      </c>
      <c r="Y24" s="7" t="s">
        <v>684</v>
      </c>
      <c r="Z24" s="7">
        <v>25000</v>
      </c>
      <c r="AA24" s="11" t="s">
        <v>81</v>
      </c>
      <c r="AB24" s="11" t="s">
        <v>81</v>
      </c>
      <c r="AC24" s="11" t="s">
        <v>80</v>
      </c>
      <c r="AD24" s="11" t="s">
        <v>467</v>
      </c>
    </row>
    <row r="25" spans="1:30">
      <c r="A25" s="11" t="s">
        <v>251</v>
      </c>
      <c r="B25" s="17">
        <v>50000</v>
      </c>
      <c r="C25" s="17" t="s">
        <v>543</v>
      </c>
      <c r="D25" s="17" t="s">
        <v>565</v>
      </c>
      <c r="E25" s="17">
        <v>20000</v>
      </c>
      <c r="F25" s="17" t="s">
        <v>543</v>
      </c>
      <c r="G25" s="17" t="s">
        <v>596</v>
      </c>
      <c r="H25" s="17">
        <v>60500</v>
      </c>
      <c r="I25" s="17" t="s">
        <v>543</v>
      </c>
      <c r="J25" s="17">
        <v>100000</v>
      </c>
      <c r="K25" s="17" t="s">
        <v>543</v>
      </c>
      <c r="L25" s="17" t="s">
        <v>544</v>
      </c>
      <c r="M25" s="17">
        <v>40200</v>
      </c>
      <c r="N25" s="17" t="s">
        <v>543</v>
      </c>
      <c r="O25" s="17" t="s">
        <v>544</v>
      </c>
      <c r="P25" s="17">
        <v>238800</v>
      </c>
      <c r="Q25" s="17" t="s">
        <v>553</v>
      </c>
      <c r="R25" s="17">
        <v>15800</v>
      </c>
      <c r="S25" s="17" t="s">
        <v>543</v>
      </c>
      <c r="T25" s="17" t="s">
        <v>544</v>
      </c>
      <c r="U25" s="38" t="s">
        <v>81</v>
      </c>
      <c r="V25" s="7" t="s">
        <v>683</v>
      </c>
      <c r="W25" s="7" t="s">
        <v>1603</v>
      </c>
      <c r="X25" s="7" t="s">
        <v>1623</v>
      </c>
      <c r="Y25" s="11" t="s">
        <v>682</v>
      </c>
      <c r="Z25" s="7">
        <v>15000</v>
      </c>
      <c r="AA25" s="11" t="s">
        <v>80</v>
      </c>
      <c r="AB25" s="11" t="s">
        <v>80</v>
      </c>
      <c r="AC25" s="11" t="s">
        <v>81</v>
      </c>
      <c r="AD25" s="11" t="s">
        <v>473</v>
      </c>
    </row>
    <row r="26" spans="1:30">
      <c r="A26" s="11" t="s">
        <v>251</v>
      </c>
      <c r="B26" s="17">
        <v>5000</v>
      </c>
      <c r="C26" s="17" t="s">
        <v>553</v>
      </c>
      <c r="D26" s="17" t="s">
        <v>544</v>
      </c>
      <c r="E26" s="17">
        <v>2500</v>
      </c>
      <c r="F26" s="17" t="s">
        <v>543</v>
      </c>
      <c r="G26" s="17" t="s">
        <v>544</v>
      </c>
      <c r="H26" s="17">
        <v>62250</v>
      </c>
      <c r="I26" s="17" t="s">
        <v>543</v>
      </c>
      <c r="J26" s="17">
        <v>57700</v>
      </c>
      <c r="K26" s="17" t="s">
        <v>543</v>
      </c>
      <c r="L26" s="17" t="s">
        <v>565</v>
      </c>
      <c r="M26" s="17">
        <v>41100</v>
      </c>
      <c r="N26" s="17" t="s">
        <v>543</v>
      </c>
      <c r="O26" s="17" t="s">
        <v>565</v>
      </c>
      <c r="P26" s="17">
        <v>240900</v>
      </c>
      <c r="Q26" s="17" t="s">
        <v>543</v>
      </c>
      <c r="R26" s="17">
        <v>16900</v>
      </c>
      <c r="S26" s="17" t="s">
        <v>553</v>
      </c>
      <c r="T26" s="17" t="s">
        <v>565</v>
      </c>
      <c r="U26" s="38" t="s">
        <v>81</v>
      </c>
      <c r="V26" s="7" t="s">
        <v>685</v>
      </c>
      <c r="W26" s="7" t="s">
        <v>698</v>
      </c>
      <c r="X26" s="7" t="s">
        <v>696</v>
      </c>
      <c r="Y26" s="7" t="s">
        <v>684</v>
      </c>
      <c r="Z26" s="7">
        <v>2500</v>
      </c>
      <c r="AA26" s="11" t="s">
        <v>81</v>
      </c>
      <c r="AB26" s="11" t="s">
        <v>80</v>
      </c>
      <c r="AC26" s="11" t="s">
        <v>81</v>
      </c>
      <c r="AD26" s="11" t="s">
        <v>477</v>
      </c>
    </row>
    <row r="27" spans="1:30">
      <c r="A27" s="11" t="s">
        <v>251</v>
      </c>
      <c r="B27" s="17">
        <v>40000</v>
      </c>
      <c r="C27" s="17" t="s">
        <v>543</v>
      </c>
      <c r="D27" s="17" t="s">
        <v>565</v>
      </c>
      <c r="E27" s="17">
        <v>20000</v>
      </c>
      <c r="F27" s="17" t="s">
        <v>553</v>
      </c>
      <c r="G27" s="17" t="s">
        <v>596</v>
      </c>
      <c r="H27" s="17">
        <v>74500</v>
      </c>
      <c r="I27" s="17" t="s">
        <v>553</v>
      </c>
      <c r="J27" s="17">
        <v>66800</v>
      </c>
      <c r="K27" s="17" t="s">
        <v>553</v>
      </c>
      <c r="L27" s="17" t="s">
        <v>565</v>
      </c>
      <c r="M27" s="17">
        <v>47400</v>
      </c>
      <c r="N27" s="17" t="s">
        <v>553</v>
      </c>
      <c r="O27" s="17" t="s">
        <v>565</v>
      </c>
      <c r="P27" s="17">
        <v>80600</v>
      </c>
      <c r="Q27" s="17" t="s">
        <v>543</v>
      </c>
      <c r="R27" s="17">
        <v>24600</v>
      </c>
      <c r="S27" s="17" t="s">
        <v>543</v>
      </c>
      <c r="T27" s="17" t="s">
        <v>565</v>
      </c>
      <c r="U27" s="38" t="s">
        <v>81</v>
      </c>
      <c r="V27" s="7" t="s">
        <v>689</v>
      </c>
      <c r="W27" s="7" t="s">
        <v>704</v>
      </c>
      <c r="X27" s="7" t="s">
        <v>696</v>
      </c>
      <c r="Y27" s="11" t="s">
        <v>682</v>
      </c>
      <c r="Z27" s="7">
        <v>5000</v>
      </c>
      <c r="AA27" s="11" t="s">
        <v>81</v>
      </c>
      <c r="AB27" s="11" t="s">
        <v>80</v>
      </c>
      <c r="AC27" s="11" t="s">
        <v>80</v>
      </c>
      <c r="AD27" s="11" t="s">
        <v>479</v>
      </c>
    </row>
    <row r="28" spans="1:30">
      <c r="A28" s="11" t="s">
        <v>280</v>
      </c>
      <c r="B28" s="17">
        <v>5000</v>
      </c>
      <c r="C28" s="17" t="s">
        <v>553</v>
      </c>
      <c r="D28" s="17" t="s">
        <v>565</v>
      </c>
      <c r="E28" s="17">
        <v>7500</v>
      </c>
      <c r="F28" s="17" t="s">
        <v>543</v>
      </c>
      <c r="G28" s="17" t="s">
        <v>544</v>
      </c>
      <c r="H28" s="17">
        <v>79750</v>
      </c>
      <c r="I28" s="17" t="s">
        <v>543</v>
      </c>
      <c r="J28" s="17">
        <v>70700</v>
      </c>
      <c r="K28" s="17" t="s">
        <v>543</v>
      </c>
      <c r="L28" s="17" t="s">
        <v>596</v>
      </c>
      <c r="M28" s="17">
        <v>10100</v>
      </c>
      <c r="N28" s="17" t="s">
        <v>543</v>
      </c>
      <c r="O28" s="17" t="s">
        <v>596</v>
      </c>
      <c r="P28" s="17">
        <v>86900</v>
      </c>
      <c r="Q28" s="17" t="s">
        <v>553</v>
      </c>
      <c r="R28" s="17">
        <v>27900</v>
      </c>
      <c r="S28" s="17" t="s">
        <v>543</v>
      </c>
      <c r="T28" s="17" t="s">
        <v>596</v>
      </c>
      <c r="U28" s="38" t="s">
        <v>80</v>
      </c>
      <c r="V28" s="7" t="s">
        <v>686</v>
      </c>
      <c r="W28" s="7" t="s">
        <v>1604</v>
      </c>
      <c r="X28" s="7" t="s">
        <v>1624</v>
      </c>
      <c r="Y28" s="7" t="s">
        <v>684</v>
      </c>
      <c r="Z28" s="7">
        <v>2500</v>
      </c>
      <c r="AA28" s="11" t="s">
        <v>80</v>
      </c>
      <c r="AB28" s="11" t="s">
        <v>80</v>
      </c>
      <c r="AC28" s="11" t="s">
        <v>81</v>
      </c>
      <c r="AD28" s="11" t="s">
        <v>489</v>
      </c>
    </row>
    <row r="29" spans="1:30">
      <c r="A29" s="11" t="s">
        <v>280</v>
      </c>
      <c r="B29" s="17">
        <v>10000</v>
      </c>
      <c r="C29" s="17" t="s">
        <v>543</v>
      </c>
      <c r="D29" s="17" t="s">
        <v>596</v>
      </c>
      <c r="E29" s="17">
        <v>10000</v>
      </c>
      <c r="F29" s="17" t="s">
        <v>553</v>
      </c>
      <c r="G29" s="17" t="s">
        <v>596</v>
      </c>
      <c r="H29" s="17">
        <v>81500</v>
      </c>
      <c r="I29" s="17" t="s">
        <v>553</v>
      </c>
      <c r="J29" s="17">
        <v>100000</v>
      </c>
      <c r="K29" s="17" t="s">
        <v>553</v>
      </c>
      <c r="L29" s="17" t="s">
        <v>544</v>
      </c>
      <c r="M29" s="17">
        <v>11000</v>
      </c>
      <c r="N29" s="17" t="s">
        <v>543</v>
      </c>
      <c r="O29" s="17" t="s">
        <v>544</v>
      </c>
      <c r="P29" s="17">
        <v>89000</v>
      </c>
      <c r="Q29" s="17" t="s">
        <v>543</v>
      </c>
      <c r="R29" s="17">
        <v>29000</v>
      </c>
      <c r="S29" s="17" t="s">
        <v>553</v>
      </c>
      <c r="T29" s="17" t="s">
        <v>544</v>
      </c>
      <c r="U29" s="38" t="s">
        <v>81</v>
      </c>
      <c r="V29" s="7" t="s">
        <v>686</v>
      </c>
      <c r="W29" s="7" t="s">
        <v>1605</v>
      </c>
      <c r="X29" s="7" t="s">
        <v>1625</v>
      </c>
      <c r="Y29" s="11" t="s">
        <v>682</v>
      </c>
      <c r="Z29" s="7">
        <v>10000</v>
      </c>
      <c r="AA29" s="11" t="s">
        <v>81</v>
      </c>
      <c r="AB29" s="11" t="s">
        <v>81</v>
      </c>
      <c r="AC29" s="11" t="s">
        <v>80</v>
      </c>
      <c r="AD29" s="11" t="s">
        <v>493</v>
      </c>
    </row>
    <row r="30" spans="1:30">
      <c r="A30" s="11" t="s">
        <v>280</v>
      </c>
      <c r="B30" s="17">
        <v>15000</v>
      </c>
      <c r="C30" s="17" t="s">
        <v>543</v>
      </c>
      <c r="D30" s="17" t="s">
        <v>544</v>
      </c>
      <c r="E30" s="17">
        <v>12500</v>
      </c>
      <c r="F30" s="17" t="s">
        <v>543</v>
      </c>
      <c r="G30" s="17" t="s">
        <v>544</v>
      </c>
      <c r="H30" s="17">
        <v>83250</v>
      </c>
      <c r="I30" s="17" t="s">
        <v>543</v>
      </c>
      <c r="J30" s="17">
        <v>73300</v>
      </c>
      <c r="K30" s="17" t="s">
        <v>543</v>
      </c>
      <c r="L30" s="17" t="s">
        <v>596</v>
      </c>
      <c r="M30" s="17">
        <v>11900</v>
      </c>
      <c r="N30" s="17" t="s">
        <v>553</v>
      </c>
      <c r="O30" s="17" t="s">
        <v>596</v>
      </c>
      <c r="P30" s="17">
        <v>91100</v>
      </c>
      <c r="Q30" s="17" t="s">
        <v>543</v>
      </c>
      <c r="R30" s="17">
        <v>30100</v>
      </c>
      <c r="S30" s="17" t="s">
        <v>553</v>
      </c>
      <c r="T30" s="17" t="s">
        <v>596</v>
      </c>
      <c r="U30" s="38" t="s">
        <v>80</v>
      </c>
      <c r="V30" s="7" t="s">
        <v>694</v>
      </c>
      <c r="W30" s="7" t="s">
        <v>1606</v>
      </c>
      <c r="X30" s="7" t="s">
        <v>1626</v>
      </c>
      <c r="Y30" s="7" t="s">
        <v>684</v>
      </c>
      <c r="Z30" s="7">
        <v>1000</v>
      </c>
      <c r="AA30" s="11" t="s">
        <v>80</v>
      </c>
      <c r="AB30" s="11" t="s">
        <v>81</v>
      </c>
      <c r="AC30" s="11" t="s">
        <v>80</v>
      </c>
      <c r="AD30" s="11" t="s">
        <v>473</v>
      </c>
    </row>
    <row r="31" spans="1:30">
      <c r="A31" s="11" t="s">
        <v>280</v>
      </c>
      <c r="B31" s="17">
        <v>35000</v>
      </c>
      <c r="C31" s="17" t="s">
        <v>553</v>
      </c>
      <c r="D31" s="17" t="s">
        <v>596</v>
      </c>
      <c r="E31" s="17">
        <v>2500</v>
      </c>
      <c r="F31" s="17" t="s">
        <v>543</v>
      </c>
      <c r="G31" s="17" t="s">
        <v>596</v>
      </c>
      <c r="H31" s="17">
        <v>90250</v>
      </c>
      <c r="I31" s="17" t="s">
        <v>543</v>
      </c>
      <c r="J31" s="17">
        <v>100000</v>
      </c>
      <c r="K31" s="17" t="s">
        <v>543</v>
      </c>
      <c r="L31" s="17" t="s">
        <v>544</v>
      </c>
      <c r="M31" s="17">
        <v>15500</v>
      </c>
      <c r="N31" s="17" t="s">
        <v>543</v>
      </c>
      <c r="O31" s="17" t="s">
        <v>544</v>
      </c>
      <c r="P31" s="17">
        <v>99500</v>
      </c>
      <c r="Q31" s="17" t="s">
        <v>553</v>
      </c>
      <c r="R31" s="17">
        <v>34500</v>
      </c>
      <c r="S31" s="17" t="s">
        <v>553</v>
      </c>
      <c r="T31" s="17" t="s">
        <v>544</v>
      </c>
      <c r="U31" s="38" t="s">
        <v>81</v>
      </c>
      <c r="V31" s="7" t="s">
        <v>686</v>
      </c>
      <c r="W31" s="7" t="s">
        <v>1607</v>
      </c>
      <c r="X31" s="7" t="s">
        <v>1627</v>
      </c>
      <c r="Y31" s="11" t="s">
        <v>682</v>
      </c>
      <c r="Z31" s="7">
        <v>2500</v>
      </c>
      <c r="AA31" s="11" t="s">
        <v>80</v>
      </c>
      <c r="AB31" s="11" t="s">
        <v>80</v>
      </c>
      <c r="AC31" s="11" t="s">
        <v>80</v>
      </c>
      <c r="AD31" s="11" t="s">
        <v>705</v>
      </c>
    </row>
    <row r="32" spans="1:30">
      <c r="A32" s="11" t="s">
        <v>280</v>
      </c>
      <c r="B32" s="17">
        <v>45000</v>
      </c>
      <c r="C32" s="17" t="s">
        <v>543</v>
      </c>
      <c r="D32" s="17" t="s">
        <v>544</v>
      </c>
      <c r="E32" s="17">
        <v>7500</v>
      </c>
      <c r="F32" s="17" t="s">
        <v>553</v>
      </c>
      <c r="G32" s="17" t="s">
        <v>544</v>
      </c>
      <c r="H32" s="17">
        <v>93750</v>
      </c>
      <c r="I32" s="17" t="s">
        <v>553</v>
      </c>
      <c r="J32" s="17">
        <v>81100</v>
      </c>
      <c r="K32" s="17" t="s">
        <v>553</v>
      </c>
      <c r="L32" s="17" t="s">
        <v>596</v>
      </c>
      <c r="M32" s="17">
        <v>17300</v>
      </c>
      <c r="N32" s="17" t="s">
        <v>543</v>
      </c>
      <c r="O32" s="17" t="s">
        <v>596</v>
      </c>
      <c r="P32" s="17">
        <v>103700</v>
      </c>
      <c r="Q32" s="17" t="s">
        <v>553</v>
      </c>
      <c r="R32" s="17">
        <v>36700</v>
      </c>
      <c r="S32" s="17" t="s">
        <v>553</v>
      </c>
      <c r="T32" s="17" t="s">
        <v>596</v>
      </c>
      <c r="U32" s="38" t="s">
        <v>81</v>
      </c>
      <c r="V32" s="7" t="s">
        <v>686</v>
      </c>
      <c r="W32" s="7" t="s">
        <v>1583</v>
      </c>
      <c r="X32" s="7" t="s">
        <v>1628</v>
      </c>
      <c r="Y32" s="7" t="s">
        <v>684</v>
      </c>
      <c r="Z32" s="7">
        <v>1000</v>
      </c>
      <c r="AA32" s="11" t="s">
        <v>80</v>
      </c>
      <c r="AB32" s="11" t="s">
        <v>81</v>
      </c>
      <c r="AC32" s="11" t="s">
        <v>81</v>
      </c>
      <c r="AD32" s="11" t="s">
        <v>479</v>
      </c>
    </row>
    <row r="33" spans="1:30">
      <c r="A33" s="11" t="s">
        <v>280</v>
      </c>
      <c r="B33" s="17">
        <v>50000</v>
      </c>
      <c r="C33" s="17" t="s">
        <v>553</v>
      </c>
      <c r="D33" s="17" t="s">
        <v>596</v>
      </c>
      <c r="E33" s="17">
        <v>10000</v>
      </c>
      <c r="F33" s="17" t="s">
        <v>543</v>
      </c>
      <c r="G33" s="17" t="s">
        <v>596</v>
      </c>
      <c r="H33" s="17">
        <v>95500</v>
      </c>
      <c r="I33" s="17" t="s">
        <v>543</v>
      </c>
      <c r="J33" s="17">
        <v>82400</v>
      </c>
      <c r="K33" s="17" t="s">
        <v>543</v>
      </c>
      <c r="L33" s="17" t="s">
        <v>596</v>
      </c>
      <c r="M33" s="17">
        <v>18200</v>
      </c>
      <c r="N33" s="17" t="s">
        <v>553</v>
      </c>
      <c r="O33" s="17" t="s">
        <v>596</v>
      </c>
      <c r="P33" s="17">
        <v>105800</v>
      </c>
      <c r="Q33" s="17" t="s">
        <v>553</v>
      </c>
      <c r="R33" s="17">
        <v>37800</v>
      </c>
      <c r="S33" s="17" t="s">
        <v>553</v>
      </c>
      <c r="T33" s="17" t="s">
        <v>596</v>
      </c>
      <c r="U33" s="38" t="s">
        <v>81</v>
      </c>
      <c r="V33" s="7" t="s">
        <v>694</v>
      </c>
      <c r="W33" s="7" t="s">
        <v>1608</v>
      </c>
      <c r="X33" s="7" t="s">
        <v>1629</v>
      </c>
      <c r="Y33" s="11" t="s">
        <v>682</v>
      </c>
      <c r="Z33" s="7">
        <v>10000</v>
      </c>
      <c r="AA33" s="11" t="s">
        <v>81</v>
      </c>
      <c r="AB33" s="11" t="s">
        <v>80</v>
      </c>
      <c r="AC33" s="11" t="s">
        <v>81</v>
      </c>
      <c r="AD33" s="11" t="s">
        <v>481</v>
      </c>
    </row>
    <row r="34" spans="1:30">
      <c r="A34" s="11" t="s">
        <v>280</v>
      </c>
      <c r="B34" s="17">
        <v>10000</v>
      </c>
      <c r="C34" s="17" t="s">
        <v>553</v>
      </c>
      <c r="D34" s="17" t="s">
        <v>565</v>
      </c>
      <c r="E34" s="17">
        <v>5000</v>
      </c>
      <c r="F34" s="17" t="s">
        <v>543</v>
      </c>
      <c r="G34" s="17" t="s">
        <v>565</v>
      </c>
      <c r="H34" s="17">
        <v>100750</v>
      </c>
      <c r="I34" s="17" t="s">
        <v>553</v>
      </c>
      <c r="J34" s="17">
        <v>26300</v>
      </c>
      <c r="K34" s="17" t="s">
        <v>553</v>
      </c>
      <c r="L34" s="17" t="s">
        <v>596</v>
      </c>
      <c r="M34" s="17">
        <v>10900</v>
      </c>
      <c r="N34" s="17" t="s">
        <v>553</v>
      </c>
      <c r="O34" s="17" t="s">
        <v>596</v>
      </c>
      <c r="P34" s="17">
        <v>77100</v>
      </c>
      <c r="Q34" s="17" t="s">
        <v>553</v>
      </c>
      <c r="R34" s="17">
        <v>16100</v>
      </c>
      <c r="S34" s="17" t="s">
        <v>543</v>
      </c>
      <c r="T34" s="17" t="s">
        <v>596</v>
      </c>
      <c r="U34" s="38" t="s">
        <v>80</v>
      </c>
      <c r="V34" s="7" t="s">
        <v>680</v>
      </c>
      <c r="W34" s="7" t="s">
        <v>1583</v>
      </c>
      <c r="X34" s="7" t="s">
        <v>681</v>
      </c>
      <c r="Y34" s="7" t="s">
        <v>684</v>
      </c>
      <c r="Z34" s="7">
        <v>5000</v>
      </c>
      <c r="AA34" s="11" t="s">
        <v>80</v>
      </c>
      <c r="AB34" s="11" t="s">
        <v>81</v>
      </c>
      <c r="AC34" s="11" t="s">
        <v>80</v>
      </c>
      <c r="AD34" s="11" t="s">
        <v>419</v>
      </c>
    </row>
    <row r="35" spans="1:30">
      <c r="A35" s="11" t="s">
        <v>280</v>
      </c>
      <c r="B35" s="17">
        <v>45000</v>
      </c>
      <c r="C35" s="17" t="s">
        <v>543</v>
      </c>
      <c r="D35" s="17" t="s">
        <v>596</v>
      </c>
      <c r="E35" s="17">
        <v>2500</v>
      </c>
      <c r="F35" s="17" t="s">
        <v>543</v>
      </c>
      <c r="G35" s="17" t="s">
        <v>544</v>
      </c>
      <c r="H35" s="17">
        <v>113000</v>
      </c>
      <c r="I35" s="17" t="s">
        <v>543</v>
      </c>
      <c r="J35" s="17">
        <v>35400</v>
      </c>
      <c r="K35" s="17" t="s">
        <v>543</v>
      </c>
      <c r="L35" s="17" t="s">
        <v>544</v>
      </c>
      <c r="M35" s="17">
        <v>17200</v>
      </c>
      <c r="N35" s="17" t="s">
        <v>553</v>
      </c>
      <c r="O35" s="17" t="s">
        <v>544</v>
      </c>
      <c r="P35" s="17">
        <v>91800</v>
      </c>
      <c r="Q35" s="17" t="s">
        <v>543</v>
      </c>
      <c r="R35" s="17">
        <v>23800</v>
      </c>
      <c r="S35" s="17" t="s">
        <v>543</v>
      </c>
      <c r="T35" s="17" t="s">
        <v>544</v>
      </c>
      <c r="U35" s="38" t="s">
        <v>81</v>
      </c>
      <c r="V35" s="7" t="s">
        <v>683</v>
      </c>
      <c r="W35" s="7" t="s">
        <v>1584</v>
      </c>
      <c r="X35" s="7" t="s">
        <v>1609</v>
      </c>
      <c r="Y35" s="11" t="s">
        <v>682</v>
      </c>
      <c r="Z35" s="7">
        <v>10000</v>
      </c>
      <c r="AA35" s="11" t="s">
        <v>80</v>
      </c>
      <c r="AB35" s="11" t="s">
        <v>80</v>
      </c>
      <c r="AC35" s="11" t="s">
        <v>81</v>
      </c>
      <c r="AD35" s="11" t="s">
        <v>421</v>
      </c>
    </row>
    <row r="36" spans="1:30">
      <c r="A36" s="11" t="s">
        <v>309</v>
      </c>
      <c r="B36" s="17">
        <v>15000</v>
      </c>
      <c r="C36" s="17" t="s">
        <v>553</v>
      </c>
      <c r="D36" s="17" t="s">
        <v>544</v>
      </c>
      <c r="E36" s="17">
        <v>12500</v>
      </c>
      <c r="F36" s="17" t="s">
        <v>543</v>
      </c>
      <c r="G36" s="17" t="s">
        <v>565</v>
      </c>
      <c r="H36" s="17">
        <v>120000</v>
      </c>
      <c r="I36" s="17" t="s">
        <v>543</v>
      </c>
      <c r="J36" s="17">
        <v>100000</v>
      </c>
      <c r="K36" s="17" t="s">
        <v>543</v>
      </c>
      <c r="L36" s="17" t="s">
        <v>596</v>
      </c>
      <c r="M36" s="17">
        <v>20800</v>
      </c>
      <c r="N36" s="17" t="s">
        <v>553</v>
      </c>
      <c r="O36" s="17" t="s">
        <v>596</v>
      </c>
      <c r="P36" s="17">
        <v>100200</v>
      </c>
      <c r="Q36" s="17" t="s">
        <v>543</v>
      </c>
      <c r="R36" s="17">
        <v>28200</v>
      </c>
      <c r="S36" s="17" t="s">
        <v>553</v>
      </c>
      <c r="T36" s="17" t="s">
        <v>596</v>
      </c>
      <c r="U36" s="38" t="s">
        <v>80</v>
      </c>
      <c r="V36" s="7" t="s">
        <v>685</v>
      </c>
      <c r="W36" s="7" t="s">
        <v>1585</v>
      </c>
      <c r="X36" s="7" t="s">
        <v>1610</v>
      </c>
      <c r="Y36" s="7" t="s">
        <v>684</v>
      </c>
      <c r="Z36" s="7">
        <v>25000</v>
      </c>
      <c r="AA36" s="11" t="s">
        <v>81</v>
      </c>
      <c r="AB36" s="11" t="s">
        <v>80</v>
      </c>
      <c r="AC36" s="11" t="s">
        <v>81</v>
      </c>
      <c r="AD36" s="11" t="s">
        <v>427</v>
      </c>
    </row>
    <row r="37" spans="1:30">
      <c r="A37" s="11" t="s">
        <v>309</v>
      </c>
      <c r="B37" s="17">
        <v>25000</v>
      </c>
      <c r="C37" s="17" t="s">
        <v>543</v>
      </c>
      <c r="D37" s="17" t="s">
        <v>596</v>
      </c>
      <c r="E37" s="17">
        <v>17500</v>
      </c>
      <c r="F37" s="17" t="s">
        <v>553</v>
      </c>
      <c r="G37" s="17" t="s">
        <v>565</v>
      </c>
      <c r="H37" s="17">
        <v>123500</v>
      </c>
      <c r="I37" s="17" t="s">
        <v>553</v>
      </c>
      <c r="J37" s="17">
        <v>43200</v>
      </c>
      <c r="K37" s="17" t="s">
        <v>553</v>
      </c>
      <c r="L37" s="17" t="s">
        <v>565</v>
      </c>
      <c r="M37" s="17">
        <v>22600</v>
      </c>
      <c r="N37" s="17" t="s">
        <v>543</v>
      </c>
      <c r="O37" s="17" t="s">
        <v>565</v>
      </c>
      <c r="P37" s="17">
        <v>104400</v>
      </c>
      <c r="Q37" s="17" t="s">
        <v>543</v>
      </c>
      <c r="R37" s="17">
        <v>30400</v>
      </c>
      <c r="S37" s="17" t="s">
        <v>543</v>
      </c>
      <c r="T37" s="17" t="s">
        <v>565</v>
      </c>
      <c r="U37" s="38" t="s">
        <v>81</v>
      </c>
      <c r="V37" s="7" t="s">
        <v>686</v>
      </c>
      <c r="W37" s="7" t="s">
        <v>687</v>
      </c>
      <c r="X37" s="7" t="s">
        <v>688</v>
      </c>
      <c r="Y37" s="11" t="s">
        <v>682</v>
      </c>
      <c r="Z37" s="7">
        <v>2500</v>
      </c>
      <c r="AA37" s="11" t="s">
        <v>81</v>
      </c>
      <c r="AB37" s="11" t="s">
        <v>81</v>
      </c>
      <c r="AC37" s="11" t="s">
        <v>80</v>
      </c>
      <c r="AD37" s="11" t="s">
        <v>424</v>
      </c>
    </row>
    <row r="38" spans="1:30">
      <c r="A38" s="11" t="s">
        <v>309</v>
      </c>
      <c r="B38" s="17">
        <v>30000</v>
      </c>
      <c r="C38" s="17" t="s">
        <v>543</v>
      </c>
      <c r="D38" s="17" t="s">
        <v>565</v>
      </c>
      <c r="E38" s="17">
        <v>20000</v>
      </c>
      <c r="F38" s="17" t="s">
        <v>543</v>
      </c>
      <c r="G38" s="17" t="s">
        <v>596</v>
      </c>
      <c r="H38" s="17">
        <v>125250</v>
      </c>
      <c r="I38" s="17" t="s">
        <v>543</v>
      </c>
      <c r="J38" s="17">
        <v>100000</v>
      </c>
      <c r="K38" s="17" t="s">
        <v>543</v>
      </c>
      <c r="L38" s="17" t="s">
        <v>544</v>
      </c>
      <c r="M38" s="17">
        <v>23500</v>
      </c>
      <c r="N38" s="17" t="s">
        <v>543</v>
      </c>
      <c r="O38" s="17" t="s">
        <v>544</v>
      </c>
      <c r="P38" s="17">
        <v>106500</v>
      </c>
      <c r="Q38" s="17" t="s">
        <v>553</v>
      </c>
      <c r="R38" s="17">
        <v>31500</v>
      </c>
      <c r="S38" s="17" t="s">
        <v>553</v>
      </c>
      <c r="T38" s="17" t="s">
        <v>544</v>
      </c>
      <c r="U38" s="38" t="s">
        <v>80</v>
      </c>
      <c r="V38" s="7" t="s">
        <v>689</v>
      </c>
      <c r="W38" s="7" t="s">
        <v>1586</v>
      </c>
      <c r="X38" s="7" t="s">
        <v>690</v>
      </c>
      <c r="Y38" s="7" t="s">
        <v>684</v>
      </c>
      <c r="Z38" s="7">
        <v>7500</v>
      </c>
      <c r="AA38" s="11" t="s">
        <v>80</v>
      </c>
      <c r="AB38" s="11" t="s">
        <v>80</v>
      </c>
      <c r="AC38" s="11" t="s">
        <v>81</v>
      </c>
      <c r="AD38" s="11" t="s">
        <v>426</v>
      </c>
    </row>
    <row r="39" spans="1:30">
      <c r="A39" s="11" t="s">
        <v>309</v>
      </c>
      <c r="B39" s="17">
        <v>50000</v>
      </c>
      <c r="C39" s="17" t="s">
        <v>553</v>
      </c>
      <c r="D39" s="17" t="s">
        <v>544</v>
      </c>
      <c r="E39" s="17">
        <v>10000</v>
      </c>
      <c r="F39" s="17" t="s">
        <v>553</v>
      </c>
      <c r="G39" s="17" t="s">
        <v>544</v>
      </c>
      <c r="H39" s="17">
        <v>132250</v>
      </c>
      <c r="I39" s="17" t="s">
        <v>553</v>
      </c>
      <c r="J39" s="17">
        <v>49700</v>
      </c>
      <c r="K39" s="17" t="s">
        <v>553</v>
      </c>
      <c r="L39" s="17" t="s">
        <v>565</v>
      </c>
      <c r="M39" s="17">
        <v>27100</v>
      </c>
      <c r="N39" s="17" t="s">
        <v>543</v>
      </c>
      <c r="O39" s="17" t="s">
        <v>565</v>
      </c>
      <c r="P39" s="17">
        <v>114900</v>
      </c>
      <c r="Q39" s="17" t="s">
        <v>543</v>
      </c>
      <c r="R39" s="17">
        <v>35900</v>
      </c>
      <c r="S39" s="17" t="s">
        <v>543</v>
      </c>
      <c r="T39" s="17" t="s">
        <v>565</v>
      </c>
      <c r="U39" s="38" t="s">
        <v>81</v>
      </c>
      <c r="V39" s="7" t="s">
        <v>691</v>
      </c>
      <c r="W39" s="7" t="s">
        <v>1587</v>
      </c>
      <c r="X39" s="7" t="s">
        <v>573</v>
      </c>
      <c r="Y39" s="11" t="s">
        <v>682</v>
      </c>
      <c r="Z39" s="7">
        <v>7500</v>
      </c>
      <c r="AA39" s="11" t="s">
        <v>81</v>
      </c>
      <c r="AB39" s="11" t="s">
        <v>81</v>
      </c>
      <c r="AC39" s="11" t="s">
        <v>80</v>
      </c>
      <c r="AD39" s="11" t="s">
        <v>427</v>
      </c>
    </row>
    <row r="40" spans="1:30">
      <c r="A40" s="11" t="s">
        <v>309</v>
      </c>
      <c r="B40" s="17">
        <v>5000</v>
      </c>
      <c r="C40" s="17" t="s">
        <v>543</v>
      </c>
      <c r="D40" s="17" t="s">
        <v>565</v>
      </c>
      <c r="E40" s="17">
        <v>12500</v>
      </c>
      <c r="F40" s="17" t="s">
        <v>543</v>
      </c>
      <c r="G40" s="17" t="s">
        <v>596</v>
      </c>
      <c r="H40" s="17">
        <v>134000</v>
      </c>
      <c r="I40" s="17" t="s">
        <v>553</v>
      </c>
      <c r="J40" s="17">
        <v>100000</v>
      </c>
      <c r="K40" s="17" t="s">
        <v>553</v>
      </c>
      <c r="L40" s="17" t="s">
        <v>565</v>
      </c>
      <c r="M40" s="17">
        <v>28000</v>
      </c>
      <c r="N40" s="17" t="s">
        <v>553</v>
      </c>
      <c r="O40" s="17" t="s">
        <v>565</v>
      </c>
      <c r="P40" s="17">
        <v>117000</v>
      </c>
      <c r="Q40" s="17" t="s">
        <v>553</v>
      </c>
      <c r="R40" s="17">
        <v>37000</v>
      </c>
      <c r="S40" s="17" t="s">
        <v>543</v>
      </c>
      <c r="T40" s="17" t="s">
        <v>565</v>
      </c>
      <c r="U40" s="38" t="s">
        <v>80</v>
      </c>
      <c r="V40" s="7" t="s">
        <v>689</v>
      </c>
      <c r="W40" s="7" t="s">
        <v>1588</v>
      </c>
      <c r="X40" s="7" t="s">
        <v>692</v>
      </c>
      <c r="Y40" s="7" t="s">
        <v>684</v>
      </c>
      <c r="Z40" s="7">
        <v>25000</v>
      </c>
      <c r="AA40" s="11" t="s">
        <v>80</v>
      </c>
      <c r="AB40" s="11" t="s">
        <v>80</v>
      </c>
      <c r="AC40" s="11" t="s">
        <v>81</v>
      </c>
      <c r="AD40" s="11" t="s">
        <v>693</v>
      </c>
    </row>
    <row r="41" spans="1:30">
      <c r="A41" s="11" t="s">
        <v>309</v>
      </c>
      <c r="B41" s="17">
        <v>10000</v>
      </c>
      <c r="C41" s="17" t="s">
        <v>553</v>
      </c>
      <c r="D41" s="17" t="s">
        <v>565</v>
      </c>
      <c r="E41" s="17">
        <v>15000</v>
      </c>
      <c r="F41" s="17" t="s">
        <v>543</v>
      </c>
      <c r="G41" s="17" t="s">
        <v>544</v>
      </c>
      <c r="H41" s="17">
        <v>135750</v>
      </c>
      <c r="I41" s="17" t="s">
        <v>553</v>
      </c>
      <c r="J41" s="17">
        <v>100000</v>
      </c>
      <c r="K41" s="17" t="s">
        <v>553</v>
      </c>
      <c r="L41" s="17" t="s">
        <v>596</v>
      </c>
      <c r="M41" s="17">
        <v>28900</v>
      </c>
      <c r="N41" s="17" t="s">
        <v>543</v>
      </c>
      <c r="O41" s="17" t="s">
        <v>596</v>
      </c>
      <c r="P41" s="17">
        <v>119100</v>
      </c>
      <c r="Q41" s="17" t="s">
        <v>543</v>
      </c>
      <c r="R41" s="17">
        <v>38100</v>
      </c>
      <c r="S41" s="17" t="s">
        <v>553</v>
      </c>
      <c r="T41" s="17" t="s">
        <v>596</v>
      </c>
      <c r="U41" s="38" t="s">
        <v>80</v>
      </c>
      <c r="V41" s="7" t="s">
        <v>686</v>
      </c>
      <c r="W41" s="7" t="s">
        <v>1226</v>
      </c>
      <c r="X41" s="7" t="s">
        <v>1611</v>
      </c>
      <c r="Y41" s="11" t="s">
        <v>682</v>
      </c>
      <c r="Z41" s="7">
        <v>5000</v>
      </c>
      <c r="AA41" s="11" t="s">
        <v>81</v>
      </c>
      <c r="AB41" s="11" t="s">
        <v>81</v>
      </c>
      <c r="AC41" s="11" t="s">
        <v>80</v>
      </c>
      <c r="AD41" s="11" t="s">
        <v>427</v>
      </c>
    </row>
    <row r="42" spans="1:30">
      <c r="A42" s="11" t="s">
        <v>339</v>
      </c>
      <c r="B42" s="17">
        <v>45000</v>
      </c>
      <c r="C42" s="17" t="s">
        <v>553</v>
      </c>
      <c r="D42" s="17" t="s">
        <v>596</v>
      </c>
      <c r="E42" s="17">
        <v>12500</v>
      </c>
      <c r="F42" s="17" t="s">
        <v>553</v>
      </c>
      <c r="G42" s="17" t="s">
        <v>596</v>
      </c>
      <c r="H42" s="17">
        <v>148000</v>
      </c>
      <c r="I42" s="17" t="s">
        <v>543</v>
      </c>
      <c r="J42" s="17">
        <v>61400</v>
      </c>
      <c r="K42" s="17" t="s">
        <v>543</v>
      </c>
      <c r="L42" s="17" t="s">
        <v>544</v>
      </c>
      <c r="M42" s="17">
        <v>35200</v>
      </c>
      <c r="N42" s="17" t="s">
        <v>553</v>
      </c>
      <c r="O42" s="17" t="s">
        <v>544</v>
      </c>
      <c r="P42" s="17">
        <v>133800</v>
      </c>
      <c r="Q42" s="17" t="s">
        <v>543</v>
      </c>
      <c r="R42" s="17">
        <v>45800</v>
      </c>
      <c r="S42" s="17" t="s">
        <v>543</v>
      </c>
      <c r="T42" s="17" t="s">
        <v>544</v>
      </c>
      <c r="U42" s="38" t="s">
        <v>80</v>
      </c>
      <c r="V42" s="7" t="s">
        <v>694</v>
      </c>
      <c r="W42" s="7" t="s">
        <v>695</v>
      </c>
      <c r="X42" s="7" t="s">
        <v>696</v>
      </c>
      <c r="Y42" s="7" t="s">
        <v>684</v>
      </c>
      <c r="Z42" s="7">
        <v>50000</v>
      </c>
      <c r="AA42" s="11" t="s">
        <v>80</v>
      </c>
      <c r="AB42" s="11" t="s">
        <v>81</v>
      </c>
      <c r="AC42" s="11" t="s">
        <v>81</v>
      </c>
      <c r="AD42" s="11" t="s">
        <v>434</v>
      </c>
    </row>
    <row r="43" spans="1:30">
      <c r="A43" s="11" t="s">
        <v>339</v>
      </c>
      <c r="B43" s="17">
        <v>10000</v>
      </c>
      <c r="C43" s="17" t="s">
        <v>553</v>
      </c>
      <c r="D43" s="17" t="s">
        <v>544</v>
      </c>
      <c r="E43" s="17">
        <v>20000</v>
      </c>
      <c r="F43" s="17" t="s">
        <v>543</v>
      </c>
      <c r="G43" s="17" t="s">
        <v>544</v>
      </c>
      <c r="H43" s="17">
        <v>153250</v>
      </c>
      <c r="I43" s="17" t="s">
        <v>543</v>
      </c>
      <c r="J43" s="17">
        <v>65300</v>
      </c>
      <c r="K43" s="17" t="s">
        <v>543</v>
      </c>
      <c r="L43" s="17" t="s">
        <v>596</v>
      </c>
      <c r="M43" s="17">
        <v>37900</v>
      </c>
      <c r="N43" s="17" t="s">
        <v>543</v>
      </c>
      <c r="O43" s="17" t="s">
        <v>596</v>
      </c>
      <c r="P43" s="17">
        <v>140100</v>
      </c>
      <c r="Q43" s="17" t="s">
        <v>553</v>
      </c>
      <c r="R43" s="17">
        <v>49100</v>
      </c>
      <c r="S43" s="17" t="s">
        <v>553</v>
      </c>
      <c r="T43" s="17" t="s">
        <v>596</v>
      </c>
      <c r="U43" s="38" t="s">
        <v>81</v>
      </c>
      <c r="V43" s="7" t="s">
        <v>680</v>
      </c>
      <c r="W43" s="7" t="s">
        <v>1589</v>
      </c>
      <c r="X43" s="7" t="s">
        <v>1612</v>
      </c>
      <c r="Y43" s="11" t="s">
        <v>682</v>
      </c>
      <c r="Z43" s="7">
        <v>1000</v>
      </c>
      <c r="AA43" s="11" t="s">
        <v>81</v>
      </c>
      <c r="AB43" s="11" t="s">
        <v>81</v>
      </c>
      <c r="AC43" s="11" t="s">
        <v>80</v>
      </c>
      <c r="AD43" s="11" t="s">
        <v>441</v>
      </c>
    </row>
    <row r="44" spans="1:30">
      <c r="A44" s="11" t="s">
        <v>369</v>
      </c>
      <c r="B44" s="17">
        <v>30000</v>
      </c>
      <c r="C44" s="17" t="s">
        <v>543</v>
      </c>
      <c r="D44" s="17" t="s">
        <v>596</v>
      </c>
      <c r="E44" s="17">
        <v>10000</v>
      </c>
      <c r="F44" s="17" t="s">
        <v>553</v>
      </c>
      <c r="G44" s="17" t="s">
        <v>565</v>
      </c>
      <c r="H44" s="17">
        <v>158500</v>
      </c>
      <c r="I44" s="17" t="s">
        <v>543</v>
      </c>
      <c r="J44" s="17">
        <v>69200</v>
      </c>
      <c r="K44" s="17" t="s">
        <v>543</v>
      </c>
      <c r="L44" s="17" t="s">
        <v>544</v>
      </c>
      <c r="M44" s="17">
        <v>40600</v>
      </c>
      <c r="N44" s="17" t="s">
        <v>543</v>
      </c>
      <c r="O44" s="17" t="s">
        <v>544</v>
      </c>
      <c r="P44" s="17">
        <v>146400</v>
      </c>
      <c r="Q44" s="17" t="s">
        <v>543</v>
      </c>
      <c r="R44" s="17">
        <v>52400</v>
      </c>
      <c r="S44" s="17" t="s">
        <v>543</v>
      </c>
      <c r="T44" s="17" t="s">
        <v>544</v>
      </c>
      <c r="U44" s="38" t="s">
        <v>80</v>
      </c>
      <c r="V44" s="7" t="s">
        <v>697</v>
      </c>
      <c r="W44" s="7" t="s">
        <v>1590</v>
      </c>
      <c r="X44" s="7" t="s">
        <v>1613</v>
      </c>
      <c r="Y44" s="7" t="s">
        <v>684</v>
      </c>
      <c r="Z44" s="7">
        <v>7500</v>
      </c>
      <c r="AA44" s="11" t="s">
        <v>80</v>
      </c>
      <c r="AB44" s="11" t="s">
        <v>81</v>
      </c>
      <c r="AC44" s="11" t="s">
        <v>81</v>
      </c>
      <c r="AD44" s="11" t="s">
        <v>434</v>
      </c>
    </row>
    <row r="45" spans="1:30">
      <c r="A45" s="11" t="s">
        <v>369</v>
      </c>
      <c r="B45" s="17">
        <v>45000</v>
      </c>
      <c r="C45" s="17" t="s">
        <v>543</v>
      </c>
      <c r="D45" s="17" t="s">
        <v>544</v>
      </c>
      <c r="E45" s="17">
        <v>17500</v>
      </c>
      <c r="F45" s="17" t="s">
        <v>553</v>
      </c>
      <c r="G45" s="17" t="s">
        <v>565</v>
      </c>
      <c r="H45" s="17">
        <v>163750</v>
      </c>
      <c r="I45" s="17" t="s">
        <v>553</v>
      </c>
      <c r="J45" s="17">
        <v>73100</v>
      </c>
      <c r="K45" s="17" t="s">
        <v>553</v>
      </c>
      <c r="L45" s="17" t="s">
        <v>596</v>
      </c>
      <c r="M45" s="17">
        <v>43300</v>
      </c>
      <c r="N45" s="17" t="s">
        <v>553</v>
      </c>
      <c r="O45" s="17" t="s">
        <v>596</v>
      </c>
      <c r="P45" s="17">
        <v>152700</v>
      </c>
      <c r="Q45" s="17" t="s">
        <v>553</v>
      </c>
      <c r="R45" s="17">
        <v>55700</v>
      </c>
      <c r="S45" s="17" t="s">
        <v>543</v>
      </c>
      <c r="T45" s="17" t="s">
        <v>596</v>
      </c>
      <c r="U45" s="38" t="s">
        <v>81</v>
      </c>
      <c r="V45" s="7" t="s">
        <v>694</v>
      </c>
      <c r="W45" s="7" t="s">
        <v>1591</v>
      </c>
      <c r="X45" s="7" t="s">
        <v>1614</v>
      </c>
      <c r="Y45" s="11" t="s">
        <v>682</v>
      </c>
      <c r="Z45" s="7">
        <v>7500</v>
      </c>
      <c r="AA45" s="11" t="s">
        <v>81</v>
      </c>
      <c r="AB45" s="11" t="s">
        <v>81</v>
      </c>
      <c r="AC45" s="11" t="s">
        <v>81</v>
      </c>
      <c r="AD45" s="11" t="s">
        <v>441</v>
      </c>
    </row>
    <row r="46" spans="1:30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1"/>
      <c r="V46" s="13"/>
      <c r="W46" s="13"/>
      <c r="X46" s="13"/>
      <c r="Y46" s="39"/>
      <c r="Z46" s="13"/>
    </row>
    <row r="47" spans="1:30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1"/>
      <c r="V47" s="13"/>
      <c r="W47" s="13"/>
      <c r="X47" s="13"/>
      <c r="Y47" s="11"/>
      <c r="Z47" s="13"/>
    </row>
    <row r="48" spans="1:30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1"/>
      <c r="V48" s="13"/>
      <c r="W48" s="13"/>
      <c r="X48" s="13"/>
      <c r="Y48" s="7"/>
      <c r="Z48" s="13"/>
    </row>
    <row r="49" spans="1:26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1"/>
      <c r="V49" s="13"/>
      <c r="W49" s="13"/>
      <c r="X49" s="13"/>
      <c r="Y49" s="11"/>
      <c r="Z49" s="13"/>
    </row>
    <row r="50" spans="1:26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1"/>
      <c r="V50" s="13"/>
      <c r="W50" s="13"/>
      <c r="X50" s="13"/>
      <c r="Y50" s="7"/>
      <c r="Z50" s="13"/>
    </row>
    <row r="51" spans="1:26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1"/>
      <c r="V51" s="13"/>
      <c r="W51" s="13"/>
      <c r="X51" s="13"/>
      <c r="Y51" s="11"/>
      <c r="Z51" s="13"/>
    </row>
    <row r="52" spans="1:26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1"/>
      <c r="V52" s="13"/>
      <c r="W52" s="13"/>
      <c r="X52" s="13"/>
      <c r="Y52" s="7"/>
      <c r="Z52" s="13"/>
    </row>
    <row r="53" spans="1:26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1"/>
      <c r="V53" s="13"/>
      <c r="W53" s="13"/>
      <c r="X53" s="13"/>
      <c r="Y53" s="11"/>
      <c r="Z53" s="13"/>
    </row>
    <row r="54" spans="1:26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1"/>
      <c r="V54" s="13"/>
      <c r="W54" s="13"/>
      <c r="X54" s="13"/>
      <c r="Y54" s="7"/>
      <c r="Z54" s="13"/>
    </row>
    <row r="55" spans="1:26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1"/>
      <c r="V55" s="13"/>
      <c r="W55" s="13"/>
      <c r="X55" s="13"/>
      <c r="Y55" s="11"/>
      <c r="Z55" s="13"/>
    </row>
    <row r="56" spans="1:2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7"/>
    </row>
    <row r="58" spans="1:26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7"/>
    </row>
    <row r="60" spans="1:26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7"/>
    </row>
    <row r="62" spans="1:26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7"/>
    </row>
    <row r="64" spans="1:26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7"/>
    </row>
    <row r="66" spans="1:2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7"/>
    </row>
    <row r="68" spans="1:2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7"/>
    </row>
    <row r="70" spans="1: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7"/>
    </row>
    <row r="72" spans="1:2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7"/>
    </row>
    <row r="74" spans="1:2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7"/>
    </row>
    <row r="76" spans="1:2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7"/>
    </row>
    <row r="78" spans="1:2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7"/>
    </row>
    <row r="80" spans="1: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7"/>
    </row>
    <row r="82" spans="1:2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7"/>
    </row>
    <row r="84" spans="1: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7"/>
    </row>
    <row r="86" spans="1:2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7"/>
    </row>
    <row r="88" spans="1:2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7"/>
    </row>
    <row r="90" spans="1:2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7"/>
    </row>
    <row r="92" spans="1: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7"/>
    </row>
    <row r="94" spans="1:2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7"/>
    </row>
    <row r="96" spans="1:2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7"/>
    </row>
    <row r="98" spans="1:2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7"/>
    </row>
    <row r="100" spans="1: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7"/>
    </row>
    <row r="102" spans="1:2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7"/>
    </row>
    <row r="104" spans="1:2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7"/>
    </row>
    <row r="106" spans="1:2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7"/>
    </row>
    <row r="108" spans="1: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7"/>
    </row>
    <row r="110" spans="1:2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7"/>
    </row>
    <row r="112" spans="1:2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7"/>
    </row>
    <row r="114" spans="1:2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7"/>
    </row>
    <row r="116" spans="1:2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7"/>
    </row>
    <row r="118" spans="1:2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7"/>
    </row>
    <row r="120" spans="1:2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7"/>
    </row>
    <row r="122" spans="1:2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7"/>
    </row>
    <row r="124" spans="1:2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7"/>
    </row>
    <row r="126" spans="1:2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7"/>
    </row>
    <row r="128" spans="1:2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7"/>
    </row>
    <row r="130" spans="1:25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7"/>
    </row>
    <row r="132" spans="1:2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7"/>
    </row>
    <row r="134" spans="1:2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7"/>
    </row>
    <row r="136" spans="1:2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7"/>
    </row>
    <row r="138" spans="1:2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7"/>
    </row>
  </sheetData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2"/>
  <sheetViews>
    <sheetView workbookViewId="0">
      <selection activeCell="A3" sqref="A3:XFD3"/>
    </sheetView>
  </sheetViews>
  <sheetFormatPr defaultRowHeight="14.4"/>
  <cols>
    <col min="1" max="3" width="9.33203125" customWidth="1"/>
    <col min="4" max="4" width="38.88671875" customWidth="1"/>
    <col min="5" max="5" width="28.33203125" customWidth="1"/>
    <col min="6" max="6" width="11.109375" customWidth="1"/>
    <col min="7" max="7" width="12.5546875" customWidth="1"/>
    <col min="8" max="9" width="9.33203125" customWidth="1"/>
    <col min="10" max="10" width="11.6640625" customWidth="1"/>
    <col min="11" max="11" width="14.6640625" customWidth="1"/>
    <col min="12" max="12" width="20.44140625" customWidth="1"/>
    <col min="13" max="13" width="17.44140625" customWidth="1"/>
    <col min="14" max="14" width="42.109375" customWidth="1"/>
    <col min="15" max="24" width="13.5546875" customWidth="1"/>
  </cols>
  <sheetData>
    <row r="1" spans="1:14">
      <c r="A1" s="17" t="s">
        <v>0</v>
      </c>
      <c r="B1" s="17" t="s">
        <v>706</v>
      </c>
      <c r="C1" s="17" t="s">
        <v>707</v>
      </c>
      <c r="D1" s="17" t="s">
        <v>34</v>
      </c>
      <c r="E1" s="17" t="s">
        <v>708</v>
      </c>
      <c r="F1" s="17" t="s">
        <v>709</v>
      </c>
      <c r="G1" s="17" t="s">
        <v>395</v>
      </c>
      <c r="H1" s="17" t="s">
        <v>146</v>
      </c>
      <c r="I1" s="17" t="s">
        <v>396</v>
      </c>
      <c r="J1" s="17" t="s">
        <v>710</v>
      </c>
      <c r="K1" s="17" t="s">
        <v>711</v>
      </c>
      <c r="L1" s="17" t="s">
        <v>712</v>
      </c>
      <c r="M1" s="17" t="s">
        <v>713</v>
      </c>
      <c r="N1" s="17" t="s">
        <v>409</v>
      </c>
    </row>
    <row r="2" spans="1:14">
      <c r="A2" s="13" t="s">
        <v>78</v>
      </c>
      <c r="B2" s="17">
        <v>1</v>
      </c>
      <c r="C2" s="17">
        <v>1</v>
      </c>
      <c r="D2" s="17" t="s">
        <v>714</v>
      </c>
      <c r="E2" s="17" t="s">
        <v>715</v>
      </c>
      <c r="F2" s="17" t="s">
        <v>716</v>
      </c>
      <c r="G2" s="17" t="s">
        <v>717</v>
      </c>
      <c r="H2" s="17" t="s">
        <v>281</v>
      </c>
      <c r="I2" s="17">
        <v>22314</v>
      </c>
      <c r="J2" s="17" t="s">
        <v>80</v>
      </c>
      <c r="K2" s="17" t="s">
        <v>718</v>
      </c>
      <c r="L2" s="17" t="s">
        <v>719</v>
      </c>
      <c r="M2" s="17" t="s">
        <v>80</v>
      </c>
      <c r="N2" s="17" t="s">
        <v>720</v>
      </c>
    </row>
    <row r="3" spans="1:14">
      <c r="A3" s="13" t="s">
        <v>116</v>
      </c>
      <c r="B3" s="17">
        <v>1</v>
      </c>
      <c r="C3" s="17">
        <v>1</v>
      </c>
      <c r="D3" s="17" t="s">
        <v>728</v>
      </c>
      <c r="E3" s="17" t="s">
        <v>729</v>
      </c>
      <c r="F3" s="17" t="s">
        <v>730</v>
      </c>
      <c r="G3" s="17" t="s">
        <v>724</v>
      </c>
      <c r="H3" s="17" t="s">
        <v>79</v>
      </c>
      <c r="I3" s="17">
        <v>21202</v>
      </c>
      <c r="J3" s="17" t="s">
        <v>80</v>
      </c>
      <c r="K3" s="17" t="s">
        <v>731</v>
      </c>
      <c r="L3" s="17" t="s">
        <v>732</v>
      </c>
      <c r="M3" s="17" t="s">
        <v>80</v>
      </c>
      <c r="N3" s="17" t="s">
        <v>733</v>
      </c>
    </row>
    <row r="4" spans="1:14">
      <c r="A4" s="13" t="s">
        <v>116</v>
      </c>
      <c r="B4" s="17">
        <v>1</v>
      </c>
      <c r="C4" s="17">
        <v>1</v>
      </c>
      <c r="D4" s="17" t="s">
        <v>734</v>
      </c>
      <c r="E4" s="17" t="s">
        <v>735</v>
      </c>
      <c r="F4" s="17"/>
      <c r="G4" s="17" t="s">
        <v>443</v>
      </c>
      <c r="H4" s="17" t="s">
        <v>152</v>
      </c>
      <c r="I4" s="17">
        <v>20002</v>
      </c>
      <c r="J4" s="17" t="s">
        <v>80</v>
      </c>
      <c r="K4" s="17" t="s">
        <v>736</v>
      </c>
      <c r="L4" s="17" t="s">
        <v>732</v>
      </c>
      <c r="M4" s="17" t="s">
        <v>80</v>
      </c>
      <c r="N4" s="17" t="s">
        <v>737</v>
      </c>
    </row>
    <row r="5" spans="1:14">
      <c r="A5" s="13" t="s">
        <v>151</v>
      </c>
      <c r="B5" s="17">
        <v>1</v>
      </c>
      <c r="C5" s="17">
        <v>1</v>
      </c>
      <c r="D5" s="17" t="s">
        <v>738</v>
      </c>
      <c r="E5" s="17" t="s">
        <v>739</v>
      </c>
      <c r="F5" s="17" t="s">
        <v>740</v>
      </c>
      <c r="G5" s="17" t="s">
        <v>741</v>
      </c>
      <c r="H5" s="17" t="s">
        <v>117</v>
      </c>
      <c r="I5" s="17">
        <v>17101</v>
      </c>
      <c r="J5" s="17" t="s">
        <v>80</v>
      </c>
      <c r="K5" s="17" t="s">
        <v>742</v>
      </c>
      <c r="L5" s="17" t="s">
        <v>719</v>
      </c>
      <c r="M5" s="17" t="s">
        <v>80</v>
      </c>
      <c r="N5" s="17" t="s">
        <v>743</v>
      </c>
    </row>
    <row r="6" spans="1:14">
      <c r="A6" s="13" t="s">
        <v>151</v>
      </c>
      <c r="B6" s="17">
        <v>1</v>
      </c>
      <c r="C6" s="17">
        <v>1</v>
      </c>
      <c r="D6" s="17" t="s">
        <v>744</v>
      </c>
      <c r="E6" s="17" t="s">
        <v>745</v>
      </c>
      <c r="F6" s="17" t="s">
        <v>583</v>
      </c>
      <c r="G6" s="17" t="s">
        <v>141</v>
      </c>
      <c r="H6" s="17" t="s">
        <v>117</v>
      </c>
      <c r="I6" s="17">
        <v>19107</v>
      </c>
      <c r="J6" s="17" t="s">
        <v>80</v>
      </c>
      <c r="K6" s="17" t="s">
        <v>746</v>
      </c>
      <c r="L6" s="17" t="s">
        <v>719</v>
      </c>
      <c r="M6" s="17" t="s">
        <v>80</v>
      </c>
      <c r="N6" s="17" t="s">
        <v>747</v>
      </c>
    </row>
    <row r="7" spans="1:14">
      <c r="A7" s="13" t="s">
        <v>151</v>
      </c>
      <c r="B7" s="17">
        <v>1</v>
      </c>
      <c r="C7" s="17">
        <v>2</v>
      </c>
      <c r="D7" s="17" t="s">
        <v>748</v>
      </c>
      <c r="E7" s="17" t="s">
        <v>749</v>
      </c>
      <c r="F7" s="17"/>
      <c r="G7" s="17" t="s">
        <v>750</v>
      </c>
      <c r="H7" s="17" t="s">
        <v>245</v>
      </c>
      <c r="I7" s="17">
        <v>27601</v>
      </c>
      <c r="J7" s="17" t="s">
        <v>80</v>
      </c>
      <c r="K7" s="17" t="s">
        <v>751</v>
      </c>
      <c r="L7" s="17" t="s">
        <v>752</v>
      </c>
      <c r="M7" s="17" t="s">
        <v>80</v>
      </c>
      <c r="N7" s="17" t="s">
        <v>753</v>
      </c>
    </row>
    <row r="8" spans="1:14">
      <c r="A8" s="13" t="s">
        <v>188</v>
      </c>
      <c r="B8" s="17">
        <v>1</v>
      </c>
      <c r="C8" s="17">
        <v>2</v>
      </c>
      <c r="D8" s="17" t="s">
        <v>754</v>
      </c>
      <c r="E8" s="17" t="s">
        <v>755</v>
      </c>
      <c r="F8" s="17" t="s">
        <v>756</v>
      </c>
      <c r="G8" s="17" t="s">
        <v>460</v>
      </c>
      <c r="H8" s="17" t="s">
        <v>241</v>
      </c>
      <c r="I8" s="17">
        <v>26505</v>
      </c>
      <c r="J8" s="17" t="s">
        <v>80</v>
      </c>
      <c r="K8" s="17" t="s">
        <v>757</v>
      </c>
      <c r="L8" s="17" t="s">
        <v>719</v>
      </c>
      <c r="M8" s="17" t="s">
        <v>80</v>
      </c>
      <c r="N8" s="17" t="s">
        <v>758</v>
      </c>
    </row>
    <row r="9" spans="1:14">
      <c r="A9" s="13" t="s">
        <v>188</v>
      </c>
      <c r="B9" s="17">
        <v>1</v>
      </c>
      <c r="C9" s="17">
        <v>1</v>
      </c>
      <c r="D9" s="17" t="s">
        <v>714</v>
      </c>
      <c r="E9" s="17" t="s">
        <v>715</v>
      </c>
      <c r="F9" s="17" t="s">
        <v>716</v>
      </c>
      <c r="G9" s="17" t="s">
        <v>759</v>
      </c>
      <c r="H9" s="17" t="s">
        <v>117</v>
      </c>
      <c r="I9" s="17">
        <v>15222</v>
      </c>
      <c r="J9" s="17" t="s">
        <v>80</v>
      </c>
      <c r="K9" s="17" t="s">
        <v>718</v>
      </c>
      <c r="L9" s="17" t="s">
        <v>719</v>
      </c>
      <c r="M9" s="17" t="s">
        <v>80</v>
      </c>
      <c r="N9" s="17" t="s">
        <v>720</v>
      </c>
    </row>
    <row r="10" spans="1:14">
      <c r="A10" s="13" t="s">
        <v>217</v>
      </c>
      <c r="B10" s="17">
        <v>1</v>
      </c>
      <c r="C10" s="17">
        <v>1</v>
      </c>
      <c r="D10" s="17" t="s">
        <v>728</v>
      </c>
      <c r="E10" s="17" t="s">
        <v>729</v>
      </c>
      <c r="F10" s="17" t="s">
        <v>730</v>
      </c>
      <c r="G10" s="17" t="s">
        <v>244</v>
      </c>
      <c r="H10" s="17" t="s">
        <v>245</v>
      </c>
      <c r="I10" s="17">
        <v>27401</v>
      </c>
      <c r="J10" s="17" t="s">
        <v>80</v>
      </c>
      <c r="K10" s="17" t="s">
        <v>731</v>
      </c>
      <c r="L10" s="17" t="s">
        <v>732</v>
      </c>
      <c r="M10" s="17" t="s">
        <v>80</v>
      </c>
      <c r="N10" s="17" t="s">
        <v>733</v>
      </c>
    </row>
    <row r="11" spans="1:14">
      <c r="A11" s="13" t="s">
        <v>217</v>
      </c>
      <c r="B11" s="17">
        <v>1</v>
      </c>
      <c r="C11" s="17">
        <v>1</v>
      </c>
      <c r="D11" s="17" t="s">
        <v>760</v>
      </c>
      <c r="E11" s="17" t="s">
        <v>761</v>
      </c>
      <c r="F11" s="17" t="s">
        <v>762</v>
      </c>
      <c r="G11" s="17" t="s">
        <v>386</v>
      </c>
      <c r="H11" s="17" t="s">
        <v>241</v>
      </c>
      <c r="I11" s="17">
        <v>25301</v>
      </c>
      <c r="J11" s="17" t="s">
        <v>80</v>
      </c>
      <c r="K11" s="17" t="s">
        <v>763</v>
      </c>
      <c r="L11" s="17" t="s">
        <v>719</v>
      </c>
      <c r="M11" s="17" t="s">
        <v>80</v>
      </c>
      <c r="N11" s="17" t="s">
        <v>764</v>
      </c>
    </row>
    <row r="12" spans="1:14">
      <c r="A12" s="13" t="s">
        <v>217</v>
      </c>
      <c r="B12" s="17">
        <v>1</v>
      </c>
      <c r="C12" s="17">
        <v>1</v>
      </c>
      <c r="D12" s="17" t="s">
        <v>765</v>
      </c>
      <c r="E12" s="17" t="s">
        <v>766</v>
      </c>
      <c r="F12" s="17" t="s">
        <v>767</v>
      </c>
      <c r="G12" s="17" t="s">
        <v>768</v>
      </c>
      <c r="H12" s="17" t="s">
        <v>310</v>
      </c>
      <c r="I12" s="17">
        <v>19901</v>
      </c>
      <c r="J12" s="17" t="s">
        <v>80</v>
      </c>
      <c r="K12" s="17" t="s">
        <v>769</v>
      </c>
      <c r="L12" s="17" t="s">
        <v>732</v>
      </c>
      <c r="M12" s="17" t="s">
        <v>80</v>
      </c>
      <c r="N12" s="17" t="s">
        <v>770</v>
      </c>
    </row>
    <row r="13" spans="1:14">
      <c r="A13" s="13" t="s">
        <v>217</v>
      </c>
      <c r="B13" s="17">
        <v>1</v>
      </c>
      <c r="C13" s="17">
        <v>1</v>
      </c>
      <c r="D13" s="17" t="s">
        <v>721</v>
      </c>
      <c r="E13" s="17" t="s">
        <v>722</v>
      </c>
      <c r="F13" s="17" t="s">
        <v>723</v>
      </c>
      <c r="G13" s="17" t="s">
        <v>717</v>
      </c>
      <c r="H13" s="17" t="s">
        <v>281</v>
      </c>
      <c r="I13" s="17">
        <v>22314</v>
      </c>
      <c r="J13" s="17" t="s">
        <v>80</v>
      </c>
      <c r="K13" s="17" t="s">
        <v>725</v>
      </c>
      <c r="L13" s="17" t="s">
        <v>726</v>
      </c>
      <c r="M13" s="17" t="s">
        <v>80</v>
      </c>
      <c r="N13" s="17" t="s">
        <v>727</v>
      </c>
    </row>
    <row r="14" spans="1:14">
      <c r="A14" s="13" t="s">
        <v>217</v>
      </c>
      <c r="B14" s="17">
        <v>1</v>
      </c>
      <c r="C14" s="17">
        <v>1</v>
      </c>
      <c r="D14" s="17" t="s">
        <v>760</v>
      </c>
      <c r="E14" s="17" t="s">
        <v>761</v>
      </c>
      <c r="F14" s="17" t="s">
        <v>762</v>
      </c>
      <c r="G14" s="17" t="s">
        <v>724</v>
      </c>
      <c r="H14" s="17" t="s">
        <v>79</v>
      </c>
      <c r="I14" s="17">
        <v>21202</v>
      </c>
      <c r="J14" s="17" t="s">
        <v>80</v>
      </c>
      <c r="K14" s="17" t="s">
        <v>763</v>
      </c>
      <c r="L14" s="17" t="s">
        <v>719</v>
      </c>
      <c r="M14" s="17" t="s">
        <v>80</v>
      </c>
      <c r="N14" s="17" t="s">
        <v>764</v>
      </c>
    </row>
    <row r="15" spans="1:14">
      <c r="A15" s="13" t="s">
        <v>217</v>
      </c>
      <c r="B15" s="17">
        <v>1</v>
      </c>
      <c r="C15" s="17">
        <v>1</v>
      </c>
      <c r="D15" s="17" t="s">
        <v>771</v>
      </c>
      <c r="E15" s="17" t="s">
        <v>772</v>
      </c>
      <c r="F15" s="17" t="s">
        <v>773</v>
      </c>
      <c r="G15" s="17" t="s">
        <v>774</v>
      </c>
      <c r="H15" s="17" t="s">
        <v>79</v>
      </c>
      <c r="I15" s="17">
        <v>20850</v>
      </c>
      <c r="J15" s="17" t="s">
        <v>80</v>
      </c>
      <c r="K15" s="17" t="s">
        <v>775</v>
      </c>
      <c r="L15" s="17" t="s">
        <v>776</v>
      </c>
      <c r="M15" s="17" t="s">
        <v>80</v>
      </c>
      <c r="N15" s="17" t="s">
        <v>777</v>
      </c>
    </row>
    <row r="16" spans="1:14">
      <c r="A16" s="13" t="s">
        <v>217</v>
      </c>
      <c r="B16" s="17">
        <v>1</v>
      </c>
      <c r="C16" s="17">
        <v>1</v>
      </c>
      <c r="D16" s="17" t="s">
        <v>778</v>
      </c>
      <c r="E16" s="17" t="s">
        <v>779</v>
      </c>
      <c r="F16" s="17" t="s">
        <v>349</v>
      </c>
      <c r="G16" s="17" t="s">
        <v>443</v>
      </c>
      <c r="H16" s="17" t="s">
        <v>152</v>
      </c>
      <c r="I16" s="17">
        <v>20001</v>
      </c>
      <c r="J16" s="17" t="s">
        <v>80</v>
      </c>
      <c r="K16" s="17" t="s">
        <v>780</v>
      </c>
      <c r="L16" s="17" t="s">
        <v>732</v>
      </c>
      <c r="M16" s="17" t="s">
        <v>80</v>
      </c>
      <c r="N16" s="17" t="s">
        <v>781</v>
      </c>
    </row>
    <row r="17" spans="1:14">
      <c r="A17" s="13" t="s">
        <v>217</v>
      </c>
      <c r="B17" s="17">
        <v>2</v>
      </c>
      <c r="C17" s="17">
        <v>1</v>
      </c>
      <c r="D17" s="17" t="s">
        <v>782</v>
      </c>
      <c r="E17" s="17" t="s">
        <v>783</v>
      </c>
      <c r="F17" s="17" t="s">
        <v>784</v>
      </c>
      <c r="G17" s="17" t="s">
        <v>768</v>
      </c>
      <c r="H17" s="17" t="s">
        <v>310</v>
      </c>
      <c r="I17" s="17">
        <v>19901</v>
      </c>
      <c r="J17" s="17" t="s">
        <v>80</v>
      </c>
      <c r="K17" s="17" t="s">
        <v>785</v>
      </c>
      <c r="L17" s="17" t="s">
        <v>732</v>
      </c>
      <c r="M17" s="17" t="s">
        <v>80</v>
      </c>
      <c r="N17" s="17" t="s">
        <v>786</v>
      </c>
    </row>
    <row r="18" spans="1:14">
      <c r="A18" s="13" t="s">
        <v>217</v>
      </c>
      <c r="B18" s="17">
        <v>2</v>
      </c>
      <c r="C18" s="17">
        <v>1</v>
      </c>
      <c r="D18" s="17" t="s">
        <v>787</v>
      </c>
      <c r="E18" s="17" t="s">
        <v>788</v>
      </c>
      <c r="F18" s="17" t="s">
        <v>789</v>
      </c>
      <c r="G18" s="17" t="s">
        <v>717</v>
      </c>
      <c r="H18" s="17" t="s">
        <v>281</v>
      </c>
      <c r="I18" s="17">
        <v>22314</v>
      </c>
      <c r="J18" s="17" t="s">
        <v>80</v>
      </c>
      <c r="K18" s="17" t="s">
        <v>790</v>
      </c>
      <c r="L18" s="17" t="s">
        <v>752</v>
      </c>
      <c r="M18" s="17" t="s">
        <v>80</v>
      </c>
      <c r="N18" s="17" t="s">
        <v>791</v>
      </c>
    </row>
    <row r="19" spans="1:14">
      <c r="A19" s="13" t="s">
        <v>217</v>
      </c>
      <c r="B19" s="17">
        <v>3</v>
      </c>
      <c r="C19" s="17">
        <v>1</v>
      </c>
      <c r="D19" s="17" t="s">
        <v>792</v>
      </c>
      <c r="E19" s="17" t="s">
        <v>793</v>
      </c>
      <c r="F19" s="17" t="s">
        <v>794</v>
      </c>
      <c r="G19" s="17" t="s">
        <v>724</v>
      </c>
      <c r="H19" s="17" t="s">
        <v>79</v>
      </c>
      <c r="I19" s="17">
        <v>21202</v>
      </c>
      <c r="J19" s="17" t="s">
        <v>80</v>
      </c>
      <c r="K19" s="17" t="s">
        <v>795</v>
      </c>
      <c r="L19" s="17" t="s">
        <v>732</v>
      </c>
      <c r="M19" s="17" t="s">
        <v>80</v>
      </c>
      <c r="N19" s="17" t="s">
        <v>796</v>
      </c>
    </row>
    <row r="20" spans="1:14">
      <c r="A20" s="13" t="s">
        <v>251</v>
      </c>
      <c r="B20" s="17">
        <v>1</v>
      </c>
      <c r="C20" s="17">
        <v>1</v>
      </c>
      <c r="D20" s="17" t="s">
        <v>797</v>
      </c>
      <c r="E20" s="17" t="s">
        <v>798</v>
      </c>
      <c r="F20" s="17" t="s">
        <v>97</v>
      </c>
      <c r="G20" s="17" t="s">
        <v>759</v>
      </c>
      <c r="H20" s="17" t="s">
        <v>117</v>
      </c>
      <c r="I20" s="17">
        <v>15222</v>
      </c>
      <c r="J20" s="17" t="s">
        <v>80</v>
      </c>
      <c r="K20" s="17" t="s">
        <v>799</v>
      </c>
      <c r="L20" s="17" t="s">
        <v>719</v>
      </c>
      <c r="M20" s="17" t="s">
        <v>80</v>
      </c>
      <c r="N20" s="17" t="s">
        <v>800</v>
      </c>
    </row>
    <row r="21" spans="1:14">
      <c r="A21" s="13" t="s">
        <v>251</v>
      </c>
      <c r="B21" s="17">
        <v>1</v>
      </c>
      <c r="C21" s="17">
        <v>1</v>
      </c>
      <c r="D21" s="17" t="s">
        <v>797</v>
      </c>
      <c r="E21" s="17" t="s">
        <v>798</v>
      </c>
      <c r="F21" s="17" t="s">
        <v>97</v>
      </c>
      <c r="G21" s="17" t="s">
        <v>244</v>
      </c>
      <c r="H21" s="17" t="s">
        <v>245</v>
      </c>
      <c r="I21" s="17">
        <v>27401</v>
      </c>
      <c r="J21" s="17" t="s">
        <v>80</v>
      </c>
      <c r="K21" s="17" t="s">
        <v>799</v>
      </c>
      <c r="L21" s="17" t="s">
        <v>719</v>
      </c>
      <c r="M21" s="17" t="s">
        <v>80</v>
      </c>
      <c r="N21" s="17" t="s">
        <v>800</v>
      </c>
    </row>
    <row r="22" spans="1:14">
      <c r="A22" s="13" t="s">
        <v>280</v>
      </c>
      <c r="B22" s="17">
        <v>1</v>
      </c>
      <c r="C22" s="17">
        <v>1</v>
      </c>
      <c r="D22" s="17" t="s">
        <v>801</v>
      </c>
      <c r="E22" s="17" t="s">
        <v>802</v>
      </c>
      <c r="F22" s="17" t="s">
        <v>263</v>
      </c>
      <c r="G22" s="17" t="s">
        <v>386</v>
      </c>
      <c r="H22" s="17" t="s">
        <v>241</v>
      </c>
      <c r="I22" s="17">
        <v>25301</v>
      </c>
      <c r="J22" s="17" t="s">
        <v>80</v>
      </c>
      <c r="K22" s="17" t="s">
        <v>803</v>
      </c>
      <c r="L22" s="17" t="s">
        <v>804</v>
      </c>
      <c r="M22" s="17" t="s">
        <v>80</v>
      </c>
      <c r="N22" s="17" t="s">
        <v>805</v>
      </c>
    </row>
    <row r="23" spans="1:14">
      <c r="A23" s="13" t="s">
        <v>280</v>
      </c>
      <c r="B23" s="17">
        <v>2</v>
      </c>
      <c r="C23" s="17">
        <v>1</v>
      </c>
      <c r="D23" s="17" t="s">
        <v>782</v>
      </c>
      <c r="E23" s="17" t="s">
        <v>783</v>
      </c>
      <c r="F23" s="17" t="s">
        <v>784</v>
      </c>
      <c r="G23" s="17" t="s">
        <v>768</v>
      </c>
      <c r="H23" s="17" t="s">
        <v>310</v>
      </c>
      <c r="I23" s="17">
        <v>19901</v>
      </c>
      <c r="J23" s="17" t="s">
        <v>80</v>
      </c>
      <c r="K23" s="17" t="s">
        <v>785</v>
      </c>
      <c r="L23" s="17" t="s">
        <v>732</v>
      </c>
      <c r="M23" s="17" t="s">
        <v>80</v>
      </c>
      <c r="N23" s="17" t="s">
        <v>786</v>
      </c>
    </row>
    <row r="24" spans="1:14">
      <c r="A24" s="13" t="s">
        <v>280</v>
      </c>
      <c r="B24" s="17">
        <v>2</v>
      </c>
      <c r="C24" s="17">
        <v>1</v>
      </c>
      <c r="D24" s="17" t="s">
        <v>787</v>
      </c>
      <c r="E24" s="17" t="s">
        <v>788</v>
      </c>
      <c r="F24" s="17" t="s">
        <v>789</v>
      </c>
      <c r="G24" s="17" t="s">
        <v>717</v>
      </c>
      <c r="H24" s="17" t="s">
        <v>281</v>
      </c>
      <c r="I24" s="17">
        <v>22314</v>
      </c>
      <c r="J24" s="17" t="s">
        <v>80</v>
      </c>
      <c r="K24" s="17" t="s">
        <v>790</v>
      </c>
      <c r="L24" s="17" t="s">
        <v>752</v>
      </c>
      <c r="M24" s="17" t="s">
        <v>80</v>
      </c>
      <c r="N24" s="17" t="s">
        <v>791</v>
      </c>
    </row>
    <row r="25" spans="1:14">
      <c r="A25" s="13" t="s">
        <v>280</v>
      </c>
      <c r="B25" s="17">
        <v>3</v>
      </c>
      <c r="C25" s="17">
        <v>1</v>
      </c>
      <c r="D25" s="17" t="s">
        <v>792</v>
      </c>
      <c r="E25" s="17" t="s">
        <v>793</v>
      </c>
      <c r="F25" s="17" t="s">
        <v>794</v>
      </c>
      <c r="G25" s="17" t="s">
        <v>724</v>
      </c>
      <c r="H25" s="17" t="s">
        <v>79</v>
      </c>
      <c r="I25" s="17">
        <v>21202</v>
      </c>
      <c r="J25" s="17" t="s">
        <v>80</v>
      </c>
      <c r="K25" s="17" t="s">
        <v>795</v>
      </c>
      <c r="L25" s="17" t="s">
        <v>732</v>
      </c>
      <c r="M25" s="17" t="s">
        <v>80</v>
      </c>
      <c r="N25" s="17" t="s">
        <v>796</v>
      </c>
    </row>
    <row r="26" spans="1:14">
      <c r="A26" s="13" t="s">
        <v>309</v>
      </c>
      <c r="B26" s="17">
        <v>3</v>
      </c>
      <c r="C26" s="17">
        <v>1</v>
      </c>
      <c r="D26" s="17" t="s">
        <v>806</v>
      </c>
      <c r="E26" s="17" t="s">
        <v>807</v>
      </c>
      <c r="F26" s="17" t="s">
        <v>808</v>
      </c>
      <c r="G26" s="17" t="s">
        <v>443</v>
      </c>
      <c r="H26" s="17" t="s">
        <v>152</v>
      </c>
      <c r="I26" s="17">
        <v>20002</v>
      </c>
      <c r="J26" s="17" t="s">
        <v>80</v>
      </c>
      <c r="K26" s="17" t="s">
        <v>809</v>
      </c>
      <c r="L26" s="17" t="s">
        <v>719</v>
      </c>
      <c r="M26" s="17" t="s">
        <v>80</v>
      </c>
      <c r="N26" s="17" t="s">
        <v>810</v>
      </c>
    </row>
    <row r="27" spans="1:14">
      <c r="A27" s="13" t="s">
        <v>309</v>
      </c>
      <c r="B27" s="17">
        <v>4</v>
      </c>
      <c r="C27" s="17">
        <v>4</v>
      </c>
      <c r="D27" s="17" t="s">
        <v>811</v>
      </c>
      <c r="E27" s="17" t="s">
        <v>812</v>
      </c>
      <c r="F27" s="17" t="s">
        <v>762</v>
      </c>
      <c r="G27" s="17" t="s">
        <v>741</v>
      </c>
      <c r="H27" s="17" t="s">
        <v>117</v>
      </c>
      <c r="I27" s="17">
        <v>17101</v>
      </c>
      <c r="J27" s="17" t="s">
        <v>80</v>
      </c>
      <c r="K27" s="17" t="s">
        <v>813</v>
      </c>
      <c r="L27" s="17" t="s">
        <v>804</v>
      </c>
      <c r="M27" s="17" t="s">
        <v>80</v>
      </c>
      <c r="N27" s="17" t="s">
        <v>814</v>
      </c>
    </row>
    <row r="28" spans="1:14">
      <c r="A28" s="13" t="s">
        <v>309</v>
      </c>
      <c r="B28" s="17">
        <v>1</v>
      </c>
      <c r="C28" s="17">
        <v>4</v>
      </c>
      <c r="D28" s="17" t="s">
        <v>801</v>
      </c>
      <c r="E28" s="17" t="s">
        <v>802</v>
      </c>
      <c r="F28" s="17" t="s">
        <v>263</v>
      </c>
      <c r="G28" s="17" t="s">
        <v>815</v>
      </c>
      <c r="H28" s="17" t="s">
        <v>245</v>
      </c>
      <c r="I28" s="17">
        <v>28202</v>
      </c>
      <c r="J28" s="17" t="s">
        <v>80</v>
      </c>
      <c r="K28" s="17" t="s">
        <v>803</v>
      </c>
      <c r="L28" s="17" t="s">
        <v>804</v>
      </c>
      <c r="M28" s="17" t="s">
        <v>80</v>
      </c>
      <c r="N28" s="17" t="s">
        <v>805</v>
      </c>
    </row>
    <row r="29" spans="1:14">
      <c r="A29" s="13" t="s">
        <v>339</v>
      </c>
      <c r="B29" s="17">
        <v>2</v>
      </c>
      <c r="C29" s="17">
        <v>1</v>
      </c>
      <c r="D29" s="17" t="s">
        <v>782</v>
      </c>
      <c r="E29" s="17" t="s">
        <v>783</v>
      </c>
      <c r="F29" s="17" t="s">
        <v>784</v>
      </c>
      <c r="G29" s="17" t="s">
        <v>270</v>
      </c>
      <c r="H29" s="17" t="s">
        <v>241</v>
      </c>
      <c r="I29" s="17">
        <v>25701</v>
      </c>
      <c r="J29" s="17" t="s">
        <v>80</v>
      </c>
      <c r="K29" s="17" t="s">
        <v>785</v>
      </c>
      <c r="L29" s="17" t="s">
        <v>732</v>
      </c>
      <c r="M29" s="17" t="s">
        <v>80</v>
      </c>
      <c r="N29" s="17" t="s">
        <v>786</v>
      </c>
    </row>
    <row r="30" spans="1:14">
      <c r="A30" s="13" t="s">
        <v>339</v>
      </c>
      <c r="B30" s="17">
        <v>2</v>
      </c>
      <c r="C30" s="17">
        <v>1</v>
      </c>
      <c r="D30" s="17" t="s">
        <v>787</v>
      </c>
      <c r="E30" s="17" t="s">
        <v>788</v>
      </c>
      <c r="F30" s="17" t="s">
        <v>789</v>
      </c>
      <c r="G30" s="17" t="s">
        <v>487</v>
      </c>
      <c r="H30" s="17" t="s">
        <v>310</v>
      </c>
      <c r="I30" s="17">
        <v>19711</v>
      </c>
      <c r="J30" s="17" t="s">
        <v>80</v>
      </c>
      <c r="K30" s="17" t="s">
        <v>790</v>
      </c>
      <c r="L30" s="17" t="s">
        <v>752</v>
      </c>
      <c r="M30" s="17" t="s">
        <v>80</v>
      </c>
      <c r="N30" s="17" t="s">
        <v>791</v>
      </c>
    </row>
    <row r="31" spans="1:14">
      <c r="A31" s="13" t="s">
        <v>369</v>
      </c>
      <c r="B31" s="17">
        <v>3</v>
      </c>
      <c r="C31" s="17">
        <v>1</v>
      </c>
      <c r="D31" s="17" t="s">
        <v>792</v>
      </c>
      <c r="E31" s="17" t="s">
        <v>793</v>
      </c>
      <c r="F31" s="17" t="s">
        <v>794</v>
      </c>
      <c r="G31" s="17" t="s">
        <v>350</v>
      </c>
      <c r="H31" s="17" t="s">
        <v>281</v>
      </c>
      <c r="I31" s="17">
        <v>23219</v>
      </c>
      <c r="J31" s="17" t="s">
        <v>80</v>
      </c>
      <c r="K31" s="17" t="s">
        <v>795</v>
      </c>
      <c r="L31" s="17" t="s">
        <v>732</v>
      </c>
      <c r="M31" s="17" t="s">
        <v>80</v>
      </c>
      <c r="N31" s="17" t="s">
        <v>796</v>
      </c>
    </row>
    <row r="32" spans="1:14">
      <c r="A32" s="13" t="s">
        <v>369</v>
      </c>
      <c r="B32" s="17">
        <v>3</v>
      </c>
      <c r="C32" s="17">
        <v>1</v>
      </c>
      <c r="D32" s="17" t="s">
        <v>806</v>
      </c>
      <c r="E32" s="17" t="s">
        <v>807</v>
      </c>
      <c r="F32" s="17" t="s">
        <v>808</v>
      </c>
      <c r="G32" s="17" t="s">
        <v>816</v>
      </c>
      <c r="H32" s="17" t="s">
        <v>79</v>
      </c>
      <c r="I32" s="17">
        <v>21401</v>
      </c>
      <c r="J32" s="17" t="s">
        <v>80</v>
      </c>
      <c r="K32" s="17" t="s">
        <v>809</v>
      </c>
      <c r="L32" s="17" t="s">
        <v>719</v>
      </c>
      <c r="M32" s="17" t="s">
        <v>80</v>
      </c>
      <c r="N32" s="17" t="s">
        <v>810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048573"/>
  <sheetViews>
    <sheetView workbookViewId="0">
      <selection activeCell="A3" sqref="A3:XFD5"/>
    </sheetView>
  </sheetViews>
  <sheetFormatPr defaultRowHeight="14.4"/>
  <cols>
    <col min="1" max="2" width="9.33203125" customWidth="1"/>
    <col min="3" max="3" width="26.33203125" customWidth="1"/>
    <col min="4" max="4" width="20" customWidth="1"/>
    <col min="5" max="5" width="9.33203125" customWidth="1"/>
    <col min="6" max="6" width="19.88671875" customWidth="1"/>
    <col min="7" max="7" width="24.88671875" customWidth="1"/>
    <col min="8" max="8" width="25" customWidth="1"/>
    <col min="9" max="9" width="21.6640625" customWidth="1"/>
    <col min="10" max="10" width="17.5546875" customWidth="1"/>
    <col min="11" max="11" width="16.109375" customWidth="1"/>
    <col min="12" max="12" width="23.88671875" customWidth="1"/>
    <col min="13" max="13" width="20.6640625" customWidth="1"/>
    <col min="14" max="14" width="9.33203125" customWidth="1"/>
    <col min="15" max="24" width="13.5546875" customWidth="1"/>
  </cols>
  <sheetData>
    <row r="1" spans="1:14">
      <c r="A1" s="17" t="s">
        <v>0</v>
      </c>
      <c r="B1" s="17" t="s">
        <v>817</v>
      </c>
      <c r="C1" s="40" t="s">
        <v>818</v>
      </c>
      <c r="D1" s="41" t="s">
        <v>819</v>
      </c>
      <c r="E1" s="17" t="s">
        <v>706</v>
      </c>
      <c r="F1" s="17" t="s">
        <v>820</v>
      </c>
      <c r="G1" s="17" t="s">
        <v>821</v>
      </c>
      <c r="H1" s="42" t="s">
        <v>822</v>
      </c>
      <c r="I1" s="42" t="s">
        <v>823</v>
      </c>
      <c r="J1" s="17" t="s">
        <v>824</v>
      </c>
      <c r="K1" s="17" t="s">
        <v>409</v>
      </c>
      <c r="L1" s="40" t="s">
        <v>825</v>
      </c>
      <c r="M1" s="41" t="s">
        <v>826</v>
      </c>
    </row>
    <row r="2" spans="1:14">
      <c r="A2" s="13" t="s">
        <v>78</v>
      </c>
      <c r="B2" s="17" t="s">
        <v>80</v>
      </c>
      <c r="C2" s="17" t="s">
        <v>81</v>
      </c>
      <c r="D2" s="13" t="s">
        <v>1635</v>
      </c>
      <c r="E2" s="17">
        <v>1</v>
      </c>
      <c r="F2" s="17" t="s">
        <v>827</v>
      </c>
      <c r="G2" s="17" t="s">
        <v>828</v>
      </c>
      <c r="H2" s="42">
        <v>18500</v>
      </c>
      <c r="I2" s="42">
        <v>2400</v>
      </c>
      <c r="J2" s="17">
        <f t="shared" ref="J2:J21" si="0">SUM(H2,I2)</f>
        <v>20900</v>
      </c>
      <c r="K2" s="17" t="s">
        <v>720</v>
      </c>
      <c r="L2" s="13" t="s">
        <v>80</v>
      </c>
      <c r="M2" s="13" t="s">
        <v>829</v>
      </c>
      <c r="N2" s="17">
        <f>SUM(H2:I2)</f>
        <v>20900</v>
      </c>
    </row>
    <row r="3" spans="1:14">
      <c r="A3" s="13" t="s">
        <v>116</v>
      </c>
      <c r="B3" s="17" t="s">
        <v>80</v>
      </c>
      <c r="C3" s="17" t="s">
        <v>81</v>
      </c>
      <c r="D3" s="13" t="s">
        <v>1636</v>
      </c>
      <c r="E3" s="17">
        <v>1</v>
      </c>
      <c r="F3" s="17" t="s">
        <v>827</v>
      </c>
      <c r="G3" s="17" t="s">
        <v>832</v>
      </c>
      <c r="H3" s="42">
        <v>5600</v>
      </c>
      <c r="I3" s="42">
        <v>0</v>
      </c>
      <c r="J3" s="17">
        <f t="shared" si="0"/>
        <v>5600</v>
      </c>
      <c r="K3" s="17" t="s">
        <v>743</v>
      </c>
      <c r="L3" s="13" t="s">
        <v>81</v>
      </c>
      <c r="M3" s="13"/>
    </row>
    <row r="4" spans="1:14">
      <c r="A4" s="13" t="s">
        <v>116</v>
      </c>
      <c r="B4" s="17" t="s">
        <v>80</v>
      </c>
      <c r="C4" s="17" t="s">
        <v>81</v>
      </c>
      <c r="D4" s="13" t="s">
        <v>1637</v>
      </c>
      <c r="E4" s="17">
        <v>2</v>
      </c>
      <c r="F4" s="17" t="s">
        <v>833</v>
      </c>
      <c r="G4" s="17" t="s">
        <v>834</v>
      </c>
      <c r="H4" s="42">
        <v>23800</v>
      </c>
      <c r="I4" s="42">
        <v>1800</v>
      </c>
      <c r="J4" s="17">
        <f t="shared" si="0"/>
        <v>25600</v>
      </c>
      <c r="K4" s="17"/>
      <c r="L4" s="13" t="s">
        <v>81</v>
      </c>
      <c r="M4" s="13"/>
    </row>
    <row r="5" spans="1:14">
      <c r="A5" s="13" t="s">
        <v>116</v>
      </c>
      <c r="B5" s="17" t="s">
        <v>80</v>
      </c>
      <c r="C5" s="17" t="s">
        <v>81</v>
      </c>
      <c r="D5" s="13" t="s">
        <v>1638</v>
      </c>
      <c r="E5" s="17">
        <v>3</v>
      </c>
      <c r="F5" s="17" t="s">
        <v>831</v>
      </c>
      <c r="G5" s="17" t="s">
        <v>835</v>
      </c>
      <c r="H5" s="42">
        <v>15950</v>
      </c>
      <c r="I5" s="42">
        <v>0</v>
      </c>
      <c r="J5" s="17">
        <f t="shared" si="0"/>
        <v>15950</v>
      </c>
      <c r="K5" s="17"/>
      <c r="L5" s="13" t="s">
        <v>81</v>
      </c>
      <c r="M5" s="13"/>
    </row>
    <row r="6" spans="1:14">
      <c r="A6" s="13" t="s">
        <v>151</v>
      </c>
      <c r="B6" s="17" t="s">
        <v>80</v>
      </c>
      <c r="C6" s="17" t="s">
        <v>81</v>
      </c>
      <c r="D6" s="13" t="s">
        <v>1639</v>
      </c>
      <c r="E6" s="17">
        <v>4</v>
      </c>
      <c r="F6" s="17" t="s">
        <v>273</v>
      </c>
      <c r="G6" s="17" t="s">
        <v>836</v>
      </c>
      <c r="H6" s="42">
        <v>68200</v>
      </c>
      <c r="I6" s="42">
        <v>5400</v>
      </c>
      <c r="J6" s="17">
        <f t="shared" si="0"/>
        <v>73600</v>
      </c>
      <c r="K6" s="17"/>
      <c r="L6" s="13" t="s">
        <v>81</v>
      </c>
      <c r="M6" s="13"/>
    </row>
    <row r="7" spans="1:14">
      <c r="A7" s="43" t="s">
        <v>188</v>
      </c>
      <c r="B7" s="17" t="s">
        <v>80</v>
      </c>
      <c r="C7" s="17" t="s">
        <v>81</v>
      </c>
      <c r="D7" s="13" t="s">
        <v>1640</v>
      </c>
      <c r="E7" s="17">
        <v>5</v>
      </c>
      <c r="F7" s="17" t="s">
        <v>827</v>
      </c>
      <c r="G7" s="17" t="s">
        <v>837</v>
      </c>
      <c r="H7" s="42">
        <v>12750</v>
      </c>
      <c r="I7" s="42">
        <v>900</v>
      </c>
      <c r="J7" s="17">
        <f t="shared" si="0"/>
        <v>13650</v>
      </c>
      <c r="K7" s="17"/>
      <c r="L7" s="13" t="s">
        <v>81</v>
      </c>
      <c r="M7" s="13"/>
    </row>
    <row r="8" spans="1:14">
      <c r="A8" s="13" t="s">
        <v>217</v>
      </c>
      <c r="B8" s="17" t="s">
        <v>80</v>
      </c>
      <c r="C8" s="17" t="s">
        <v>81</v>
      </c>
      <c r="D8" s="44" t="s">
        <v>1641</v>
      </c>
      <c r="E8" s="17">
        <v>4</v>
      </c>
      <c r="F8" s="17" t="s">
        <v>831</v>
      </c>
      <c r="G8" s="17" t="s">
        <v>838</v>
      </c>
      <c r="H8" s="42">
        <v>42800</v>
      </c>
      <c r="I8" s="42">
        <v>0</v>
      </c>
      <c r="J8" s="17">
        <f t="shared" si="0"/>
        <v>42800</v>
      </c>
      <c r="K8" s="17"/>
      <c r="L8" s="13" t="s">
        <v>81</v>
      </c>
      <c r="M8" s="13"/>
    </row>
    <row r="9" spans="1:14">
      <c r="A9" s="13" t="s">
        <v>217</v>
      </c>
      <c r="B9" s="17" t="s">
        <v>80</v>
      </c>
      <c r="C9" s="17" t="s">
        <v>81</v>
      </c>
      <c r="D9" s="44" t="s">
        <v>839</v>
      </c>
      <c r="E9" s="17">
        <v>5</v>
      </c>
      <c r="F9" s="17" t="s">
        <v>273</v>
      </c>
      <c r="G9" s="17" t="s">
        <v>840</v>
      </c>
      <c r="H9" s="42">
        <v>21975</v>
      </c>
      <c r="I9" s="42">
        <v>3100</v>
      </c>
      <c r="J9" s="17">
        <f t="shared" si="0"/>
        <v>25075</v>
      </c>
      <c r="K9" s="17" t="s">
        <v>770</v>
      </c>
      <c r="L9" s="13" t="s">
        <v>80</v>
      </c>
      <c r="M9" s="13" t="s">
        <v>841</v>
      </c>
    </row>
    <row r="10" spans="1:14">
      <c r="A10" s="13" t="s">
        <v>217</v>
      </c>
      <c r="B10" s="17" t="s">
        <v>80</v>
      </c>
      <c r="C10" s="17" t="s">
        <v>81</v>
      </c>
      <c r="D10" s="44" t="s">
        <v>1642</v>
      </c>
      <c r="E10" s="17">
        <v>1</v>
      </c>
      <c r="F10" s="17" t="s">
        <v>273</v>
      </c>
      <c r="G10" s="17" t="s">
        <v>842</v>
      </c>
      <c r="H10" s="42">
        <v>7850</v>
      </c>
      <c r="I10" s="42">
        <v>0</v>
      </c>
      <c r="J10" s="17">
        <f t="shared" si="0"/>
        <v>7850</v>
      </c>
      <c r="K10" s="17" t="s">
        <v>727</v>
      </c>
      <c r="L10" s="13" t="s">
        <v>80</v>
      </c>
      <c r="M10" s="13" t="s">
        <v>843</v>
      </c>
    </row>
    <row r="11" spans="1:14">
      <c r="A11" s="13" t="s">
        <v>251</v>
      </c>
      <c r="B11" s="17" t="s">
        <v>80</v>
      </c>
      <c r="C11" s="17" t="s">
        <v>81</v>
      </c>
      <c r="D11" s="44" t="s">
        <v>1643</v>
      </c>
      <c r="E11" s="17">
        <v>2</v>
      </c>
      <c r="F11" s="17" t="s">
        <v>273</v>
      </c>
      <c r="G11" s="17" t="s">
        <v>844</v>
      </c>
      <c r="H11" s="42">
        <v>6830</v>
      </c>
      <c r="I11" s="42">
        <v>0</v>
      </c>
      <c r="J11" s="17">
        <f t="shared" si="0"/>
        <v>6830</v>
      </c>
      <c r="K11" s="17" t="s">
        <v>764</v>
      </c>
      <c r="L11" s="13" t="s">
        <v>81</v>
      </c>
      <c r="M11" s="13"/>
    </row>
    <row r="12" spans="1:14">
      <c r="A12" s="13" t="s">
        <v>280</v>
      </c>
      <c r="B12" s="17" t="s">
        <v>80</v>
      </c>
      <c r="C12" s="17" t="s">
        <v>81</v>
      </c>
      <c r="D12" s="44" t="s">
        <v>1644</v>
      </c>
      <c r="E12" s="17">
        <v>3</v>
      </c>
      <c r="F12" s="17" t="s">
        <v>273</v>
      </c>
      <c r="G12" s="17" t="s">
        <v>845</v>
      </c>
      <c r="H12" s="42">
        <v>13760</v>
      </c>
      <c r="I12" s="42">
        <v>2250</v>
      </c>
      <c r="J12" s="17">
        <f t="shared" si="0"/>
        <v>16010</v>
      </c>
      <c r="K12" s="17" t="s">
        <v>777</v>
      </c>
      <c r="L12" s="13" t="s">
        <v>81</v>
      </c>
      <c r="M12" s="13"/>
    </row>
    <row r="13" spans="1:14">
      <c r="A13" s="13" t="s">
        <v>280</v>
      </c>
      <c r="B13" s="17" t="s">
        <v>80</v>
      </c>
      <c r="C13" s="17" t="s">
        <v>81</v>
      </c>
      <c r="D13" s="44" t="s">
        <v>1645</v>
      </c>
      <c r="E13" s="17">
        <v>4</v>
      </c>
      <c r="F13" s="17" t="s">
        <v>273</v>
      </c>
      <c r="G13" s="17" t="s">
        <v>846</v>
      </c>
      <c r="H13" s="42">
        <v>18420</v>
      </c>
      <c r="I13" s="42">
        <v>0</v>
      </c>
      <c r="J13" s="17">
        <f t="shared" si="0"/>
        <v>18420</v>
      </c>
      <c r="K13" s="17" t="s">
        <v>781</v>
      </c>
      <c r="L13" s="13" t="s">
        <v>81</v>
      </c>
      <c r="M13" s="13"/>
    </row>
    <row r="14" spans="1:14">
      <c r="A14" s="13" t="s">
        <v>280</v>
      </c>
      <c r="B14" s="17" t="s">
        <v>80</v>
      </c>
      <c r="C14" s="17" t="s">
        <v>81</v>
      </c>
      <c r="D14" s="44" t="s">
        <v>1646</v>
      </c>
      <c r="E14" s="17">
        <v>1</v>
      </c>
      <c r="F14" s="17" t="s">
        <v>827</v>
      </c>
      <c r="G14" s="17" t="s">
        <v>847</v>
      </c>
      <c r="H14" s="42">
        <v>11200</v>
      </c>
      <c r="I14" s="42">
        <v>2650</v>
      </c>
      <c r="J14" s="17">
        <f t="shared" si="0"/>
        <v>13850</v>
      </c>
      <c r="K14" s="17" t="s">
        <v>786</v>
      </c>
      <c r="L14" s="13" t="s">
        <v>80</v>
      </c>
      <c r="M14" s="13" t="s">
        <v>841</v>
      </c>
    </row>
    <row r="15" spans="1:14">
      <c r="A15" s="13" t="s">
        <v>280</v>
      </c>
      <c r="B15" s="17" t="s">
        <v>80</v>
      </c>
      <c r="C15" s="17" t="s">
        <v>81</v>
      </c>
      <c r="D15" s="44" t="s">
        <v>1647</v>
      </c>
      <c r="E15" s="17">
        <v>2</v>
      </c>
      <c r="F15" s="17" t="s">
        <v>833</v>
      </c>
      <c r="G15" s="17" t="s">
        <v>845</v>
      </c>
      <c r="H15" s="42">
        <v>13760</v>
      </c>
      <c r="I15" s="42">
        <v>2250</v>
      </c>
      <c r="J15" s="17">
        <f t="shared" si="0"/>
        <v>16010</v>
      </c>
      <c r="K15" s="17"/>
      <c r="L15" s="13" t="s">
        <v>81</v>
      </c>
      <c r="M15" s="13"/>
    </row>
    <row r="16" spans="1:14">
      <c r="A16" s="13" t="s">
        <v>280</v>
      </c>
      <c r="B16" s="17" t="s">
        <v>80</v>
      </c>
      <c r="C16" s="17" t="s">
        <v>81</v>
      </c>
      <c r="D16" s="44" t="s">
        <v>1648</v>
      </c>
      <c r="E16" s="17">
        <v>3</v>
      </c>
      <c r="F16" s="17" t="s">
        <v>848</v>
      </c>
      <c r="G16" s="17" t="s">
        <v>846</v>
      </c>
      <c r="H16" s="42">
        <v>18420</v>
      </c>
      <c r="I16" s="42">
        <v>0</v>
      </c>
      <c r="J16" s="17">
        <f t="shared" si="0"/>
        <v>18420</v>
      </c>
      <c r="K16" s="17"/>
      <c r="L16" s="13" t="s">
        <v>81</v>
      </c>
      <c r="M16" s="13"/>
    </row>
    <row r="17" spans="1:13">
      <c r="A17" s="13" t="s">
        <v>280</v>
      </c>
      <c r="B17" s="17" t="s">
        <v>80</v>
      </c>
      <c r="C17" s="17" t="s">
        <v>81</v>
      </c>
      <c r="D17" s="44" t="s">
        <v>1649</v>
      </c>
      <c r="E17" s="17">
        <v>1</v>
      </c>
      <c r="F17" s="17" t="s">
        <v>833</v>
      </c>
      <c r="G17" s="17" t="s">
        <v>849</v>
      </c>
      <c r="H17" s="42">
        <v>16450</v>
      </c>
      <c r="I17" s="42">
        <v>1200</v>
      </c>
      <c r="J17" s="17">
        <f t="shared" si="0"/>
        <v>17650</v>
      </c>
      <c r="K17" s="17"/>
      <c r="L17" s="13" t="s">
        <v>81</v>
      </c>
      <c r="M17" s="13"/>
    </row>
    <row r="18" spans="1:13">
      <c r="A18" s="13" t="s">
        <v>309</v>
      </c>
      <c r="B18" s="17" t="s">
        <v>80</v>
      </c>
      <c r="C18" s="17" t="s">
        <v>81</v>
      </c>
      <c r="D18" s="44" t="s">
        <v>850</v>
      </c>
      <c r="E18" s="17">
        <v>2</v>
      </c>
      <c r="F18" s="17" t="s">
        <v>827</v>
      </c>
      <c r="G18" s="17" t="s">
        <v>846</v>
      </c>
      <c r="H18" s="42">
        <v>18420</v>
      </c>
      <c r="I18" s="42">
        <v>0</v>
      </c>
      <c r="J18" s="17">
        <f t="shared" si="0"/>
        <v>18420</v>
      </c>
      <c r="K18" s="17"/>
      <c r="L18" s="13" t="s">
        <v>80</v>
      </c>
      <c r="M18" s="13" t="s">
        <v>851</v>
      </c>
    </row>
    <row r="19" spans="1:13">
      <c r="A19" s="13" t="s">
        <v>309</v>
      </c>
      <c r="B19" s="17" t="s">
        <v>80</v>
      </c>
      <c r="C19" s="17" t="s">
        <v>81</v>
      </c>
      <c r="D19" s="44" t="s">
        <v>1650</v>
      </c>
      <c r="E19" s="17">
        <v>3</v>
      </c>
      <c r="F19" s="17" t="s">
        <v>833</v>
      </c>
      <c r="G19" s="17" t="s">
        <v>852</v>
      </c>
      <c r="H19" s="42">
        <v>11290</v>
      </c>
      <c r="I19" s="42">
        <v>760</v>
      </c>
      <c r="J19" s="17">
        <f t="shared" si="0"/>
        <v>12050</v>
      </c>
      <c r="K19" s="17"/>
      <c r="L19" s="13" t="s">
        <v>81</v>
      </c>
      <c r="M19" s="13"/>
    </row>
    <row r="20" spans="1:13">
      <c r="A20" s="13" t="s">
        <v>339</v>
      </c>
      <c r="B20" s="17" t="s">
        <v>80</v>
      </c>
      <c r="C20" s="17" t="s">
        <v>81</v>
      </c>
      <c r="D20" s="44" t="s">
        <v>853</v>
      </c>
      <c r="E20" s="17">
        <v>4</v>
      </c>
      <c r="F20" s="17" t="s">
        <v>827</v>
      </c>
      <c r="G20" s="17" t="s">
        <v>854</v>
      </c>
      <c r="H20" s="42">
        <v>35640</v>
      </c>
      <c r="I20" s="42">
        <v>5400</v>
      </c>
      <c r="J20" s="17">
        <f t="shared" si="0"/>
        <v>41040</v>
      </c>
      <c r="K20" s="17" t="s">
        <v>786</v>
      </c>
      <c r="L20" s="13" t="s">
        <v>80</v>
      </c>
      <c r="M20" s="13" t="s">
        <v>830</v>
      </c>
    </row>
    <row r="21" spans="1:13">
      <c r="A21" s="13" t="s">
        <v>369</v>
      </c>
      <c r="B21" s="17" t="s">
        <v>80</v>
      </c>
      <c r="C21" s="17" t="s">
        <v>81</v>
      </c>
      <c r="D21" s="44" t="s">
        <v>1651</v>
      </c>
      <c r="E21" s="17">
        <v>5</v>
      </c>
      <c r="F21" s="17" t="s">
        <v>273</v>
      </c>
      <c r="G21" s="17" t="s">
        <v>855</v>
      </c>
      <c r="H21" s="42">
        <v>8450</v>
      </c>
      <c r="I21" s="42">
        <v>0</v>
      </c>
      <c r="J21" s="17">
        <f t="shared" si="0"/>
        <v>8450</v>
      </c>
      <c r="K21" s="17" t="s">
        <v>791</v>
      </c>
      <c r="L21" s="13" t="s">
        <v>80</v>
      </c>
      <c r="M21" s="13" t="s">
        <v>829</v>
      </c>
    </row>
    <row r="22" spans="1:13">
      <c r="A22" s="13"/>
      <c r="B22" s="17"/>
      <c r="C22" s="17"/>
      <c r="D22" s="17"/>
      <c r="E22" s="17"/>
      <c r="F22" s="17"/>
      <c r="G22" s="17"/>
      <c r="H22" s="42"/>
      <c r="I22" s="42"/>
      <c r="J22" s="17"/>
      <c r="K22" s="17"/>
      <c r="L22" s="13"/>
      <c r="M22" s="13"/>
    </row>
    <row r="23" spans="1:13">
      <c r="A23" s="13"/>
      <c r="B23" s="17"/>
      <c r="C23" s="17"/>
      <c r="D23" s="17"/>
      <c r="E23" s="17"/>
      <c r="F23" s="17"/>
      <c r="G23" s="17"/>
      <c r="H23" s="42"/>
      <c r="I23" s="42"/>
      <c r="J23" s="17"/>
      <c r="K23" s="17"/>
      <c r="L23" s="13"/>
      <c r="M23" s="13"/>
    </row>
    <row r="24" spans="1:13">
      <c r="A24" s="13"/>
      <c r="B24" s="17"/>
      <c r="C24" s="17"/>
      <c r="D24" s="17"/>
      <c r="E24" s="17"/>
      <c r="F24" s="17"/>
      <c r="G24" s="17"/>
      <c r="H24" s="42"/>
      <c r="I24" s="42"/>
      <c r="J24" s="17"/>
      <c r="K24" s="17"/>
      <c r="L24" s="13"/>
      <c r="M24" s="13"/>
    </row>
    <row r="25" spans="1:13">
      <c r="A25" s="13"/>
      <c r="B25" s="17"/>
      <c r="C25" s="17"/>
      <c r="D25" s="17"/>
      <c r="E25" s="17"/>
      <c r="F25" s="17"/>
      <c r="G25" s="17"/>
      <c r="H25" s="42"/>
      <c r="I25" s="42"/>
      <c r="J25" s="17"/>
      <c r="K25" s="17"/>
      <c r="L25" s="13"/>
      <c r="M25" s="13"/>
    </row>
    <row r="26" spans="1:13">
      <c r="A26" s="13"/>
      <c r="B26" s="17"/>
      <c r="C26" s="17"/>
      <c r="D26" s="17"/>
      <c r="E26" s="17"/>
      <c r="F26" s="17"/>
      <c r="G26" s="17"/>
      <c r="H26" s="42"/>
      <c r="I26" s="42"/>
      <c r="J26" s="17"/>
      <c r="K26" s="17"/>
      <c r="L26" s="13"/>
      <c r="M26" s="13"/>
    </row>
    <row r="27" spans="1:13">
      <c r="A27" s="13"/>
      <c r="B27" s="17"/>
      <c r="C27" s="17"/>
      <c r="D27" s="17"/>
      <c r="E27" s="17"/>
      <c r="F27" s="17"/>
      <c r="G27" s="17"/>
      <c r="H27" s="42"/>
      <c r="I27" s="42"/>
      <c r="J27" s="17"/>
      <c r="K27" s="17"/>
      <c r="L27" s="13"/>
      <c r="M27" s="13"/>
    </row>
    <row r="28" spans="1:13">
      <c r="A28" s="13"/>
      <c r="B28" s="17"/>
      <c r="C28" s="17"/>
      <c r="D28" s="17"/>
      <c r="E28" s="17"/>
      <c r="F28" s="17"/>
      <c r="G28" s="17"/>
      <c r="H28" s="42"/>
      <c r="I28" s="42"/>
      <c r="J28" s="17"/>
      <c r="K28" s="17"/>
      <c r="L28" s="13"/>
      <c r="M28" s="13"/>
    </row>
    <row r="29" spans="1:13">
      <c r="A29" s="13"/>
      <c r="B29" s="17"/>
      <c r="C29" s="17"/>
      <c r="D29" s="17"/>
      <c r="E29" s="17"/>
      <c r="F29" s="17"/>
      <c r="G29" s="17"/>
      <c r="H29" s="42"/>
      <c r="I29" s="42"/>
      <c r="J29" s="17"/>
      <c r="K29" s="17"/>
      <c r="L29" s="13"/>
      <c r="M29" s="13"/>
    </row>
    <row r="30" spans="1:13">
      <c r="A30" s="13"/>
      <c r="B30" s="17"/>
      <c r="C30" s="17"/>
      <c r="D30" s="17"/>
      <c r="E30" s="17"/>
      <c r="F30" s="17"/>
      <c r="G30" s="17"/>
      <c r="H30" s="42"/>
      <c r="I30" s="42"/>
      <c r="J30" s="17"/>
      <c r="K30" s="17"/>
      <c r="L30" s="13"/>
      <c r="M30" s="13"/>
    </row>
    <row r="31" spans="1:13">
      <c r="A31" s="13"/>
      <c r="B31" s="17"/>
      <c r="C31" s="17"/>
      <c r="D31" s="17"/>
      <c r="E31" s="17"/>
      <c r="F31" s="17"/>
      <c r="G31" s="17"/>
      <c r="H31" s="42"/>
      <c r="I31" s="42"/>
      <c r="J31" s="17"/>
      <c r="K31" s="17"/>
      <c r="L31" s="13"/>
      <c r="M31" s="13"/>
    </row>
    <row r="32" spans="1:13">
      <c r="A32" s="13"/>
      <c r="B32" s="17"/>
      <c r="C32" s="17"/>
      <c r="D32" s="17"/>
      <c r="E32" s="17"/>
      <c r="F32" s="17"/>
      <c r="G32" s="17"/>
      <c r="H32" s="42"/>
      <c r="I32" s="42"/>
      <c r="J32" s="17"/>
      <c r="K32" s="17"/>
      <c r="L32" s="13"/>
      <c r="M32" s="13"/>
    </row>
    <row r="33" spans="1:13">
      <c r="A33" s="13"/>
      <c r="B33" s="17"/>
      <c r="C33" s="17"/>
      <c r="D33" s="17"/>
      <c r="E33" s="17"/>
      <c r="F33" s="17"/>
      <c r="G33" s="17"/>
      <c r="H33" s="42"/>
      <c r="I33" s="42"/>
      <c r="J33" s="17"/>
      <c r="K33" s="17"/>
      <c r="L33" s="13"/>
      <c r="M33" s="13"/>
    </row>
    <row r="34" spans="1:13">
      <c r="A34" s="13"/>
      <c r="B34" s="17"/>
      <c r="C34" s="17"/>
      <c r="D34" s="17"/>
      <c r="E34" s="17"/>
      <c r="F34" s="17"/>
      <c r="G34" s="17"/>
      <c r="H34" s="42"/>
      <c r="I34" s="42"/>
      <c r="J34" s="17"/>
      <c r="K34" s="17"/>
      <c r="L34" s="13"/>
      <c r="M34" s="13"/>
    </row>
    <row r="35" spans="1:13">
      <c r="A35" s="13"/>
      <c r="B35" s="17"/>
      <c r="C35" s="17"/>
      <c r="D35" s="17"/>
      <c r="E35" s="17"/>
      <c r="F35" s="17"/>
      <c r="G35" s="17"/>
      <c r="H35" s="42"/>
      <c r="I35" s="42"/>
      <c r="J35" s="17"/>
      <c r="K35" s="17"/>
      <c r="L35" s="13"/>
      <c r="M35" s="13"/>
    </row>
    <row r="36" spans="1:13">
      <c r="A36" s="13"/>
      <c r="B36" s="17"/>
      <c r="C36" s="17"/>
      <c r="D36" s="17"/>
      <c r="E36" s="17"/>
      <c r="F36" s="17"/>
      <c r="G36" s="17"/>
      <c r="H36" s="42"/>
      <c r="I36" s="42"/>
      <c r="J36" s="17"/>
      <c r="K36" s="17"/>
      <c r="L36" s="13"/>
      <c r="M36" s="13"/>
    </row>
    <row r="37" spans="1:13">
      <c r="A37" s="13"/>
      <c r="B37" s="17"/>
      <c r="C37" s="17"/>
      <c r="D37" s="17"/>
      <c r="E37" s="17"/>
      <c r="F37" s="17"/>
      <c r="G37" s="17"/>
      <c r="H37" s="42"/>
      <c r="I37" s="42"/>
      <c r="J37" s="17"/>
      <c r="K37" s="17"/>
      <c r="L37" s="13"/>
      <c r="M37" s="13"/>
    </row>
    <row r="38" spans="1:13">
      <c r="A38" s="13"/>
      <c r="B38" s="17"/>
      <c r="C38" s="17"/>
      <c r="D38" s="17"/>
      <c r="E38" s="17"/>
      <c r="F38" s="17"/>
      <c r="G38" s="17"/>
      <c r="H38" s="42"/>
      <c r="I38" s="42"/>
      <c r="J38" s="17"/>
      <c r="K38" s="17"/>
      <c r="L38" s="13"/>
      <c r="M38" s="13"/>
    </row>
    <row r="39" spans="1:13">
      <c r="A39" s="13"/>
      <c r="B39" s="17"/>
      <c r="C39" s="17"/>
      <c r="D39" s="17"/>
      <c r="E39" s="17"/>
      <c r="F39" s="17"/>
      <c r="G39" s="17"/>
      <c r="H39" s="42"/>
      <c r="I39" s="42"/>
      <c r="J39" s="17"/>
      <c r="K39" s="17"/>
      <c r="L39" s="13"/>
      <c r="M39" s="13"/>
    </row>
    <row r="40" spans="1:13">
      <c r="A40" s="13"/>
      <c r="B40" s="17"/>
      <c r="C40" s="17"/>
      <c r="D40" s="17"/>
      <c r="E40" s="17"/>
      <c r="F40" s="17"/>
      <c r="G40" s="17"/>
      <c r="H40" s="42"/>
      <c r="I40" s="42"/>
      <c r="J40" s="17"/>
      <c r="K40" s="17"/>
      <c r="L40" s="13"/>
      <c r="M40" s="13"/>
    </row>
    <row r="41" spans="1:13">
      <c r="A41" s="13"/>
      <c r="B41" s="17"/>
      <c r="C41" s="17"/>
      <c r="D41" s="17"/>
      <c r="E41" s="17"/>
      <c r="F41" s="17"/>
      <c r="G41" s="17"/>
      <c r="H41" s="42"/>
      <c r="I41" s="42"/>
      <c r="J41" s="17"/>
      <c r="K41" s="17"/>
      <c r="L41" s="13"/>
      <c r="M41" s="13"/>
    </row>
    <row r="42" spans="1:13">
      <c r="A42" s="13"/>
      <c r="B42" s="17"/>
      <c r="C42" s="17"/>
      <c r="D42" s="17"/>
      <c r="E42" s="17"/>
      <c r="F42" s="17"/>
      <c r="G42" s="17"/>
      <c r="H42" s="42"/>
      <c r="I42" s="42"/>
      <c r="J42" s="17"/>
      <c r="K42" s="17"/>
      <c r="L42" s="13"/>
      <c r="M42" s="13"/>
    </row>
    <row r="43" spans="1:13">
      <c r="A43" s="13"/>
      <c r="B43" s="17"/>
      <c r="C43" s="17"/>
      <c r="D43" s="17"/>
      <c r="E43" s="17"/>
      <c r="F43" s="17"/>
      <c r="G43" s="17"/>
      <c r="H43" s="42"/>
      <c r="I43" s="42"/>
      <c r="J43" s="17"/>
      <c r="K43" s="17"/>
      <c r="L43" s="13"/>
      <c r="M43" s="13"/>
    </row>
    <row r="44" spans="1:13">
      <c r="A44" s="17"/>
      <c r="B44" s="17"/>
      <c r="C44" s="17"/>
      <c r="D44" s="17"/>
      <c r="E44" s="17"/>
      <c r="F44" s="17"/>
      <c r="G44" s="17"/>
      <c r="H44" s="42"/>
      <c r="I44" s="42"/>
      <c r="J44" s="17"/>
      <c r="K44" s="17"/>
      <c r="L44" s="13"/>
      <c r="M44" s="13"/>
    </row>
    <row r="45" spans="1:13">
      <c r="A45" s="17"/>
      <c r="B45" s="17"/>
      <c r="C45" s="17"/>
      <c r="D45" s="17"/>
      <c r="E45" s="17"/>
      <c r="F45" s="17"/>
      <c r="G45" s="17"/>
      <c r="H45" s="42"/>
      <c r="I45" s="42"/>
      <c r="J45" s="17"/>
      <c r="K45" s="17"/>
      <c r="L45" s="13"/>
      <c r="M45" s="13"/>
    </row>
    <row r="46" spans="1:13">
      <c r="A46" s="17"/>
      <c r="B46" s="17"/>
      <c r="C46" s="17"/>
      <c r="D46" s="17"/>
      <c r="E46" s="17"/>
      <c r="F46" s="17"/>
      <c r="G46" s="17"/>
      <c r="H46" s="42"/>
      <c r="I46" s="42"/>
      <c r="J46" s="17"/>
      <c r="K46" s="17"/>
      <c r="L46" s="13"/>
      <c r="M46" s="13"/>
    </row>
    <row r="47" spans="1:13">
      <c r="A47" s="17"/>
      <c r="B47" s="17"/>
      <c r="C47" s="17"/>
      <c r="D47" s="17"/>
      <c r="E47" s="17"/>
      <c r="F47" s="17"/>
      <c r="G47" s="17"/>
      <c r="H47" s="42"/>
      <c r="I47" s="42"/>
      <c r="J47" s="17"/>
      <c r="K47" s="17"/>
      <c r="L47" s="13"/>
      <c r="M47" s="13"/>
    </row>
    <row r="48" spans="1:13">
      <c r="A48" s="17"/>
      <c r="B48" s="17"/>
      <c r="C48" s="17"/>
      <c r="D48" s="17"/>
      <c r="E48" s="17"/>
      <c r="F48" s="17"/>
      <c r="G48" s="17"/>
      <c r="H48" s="42"/>
      <c r="I48" s="42"/>
      <c r="J48" s="17"/>
      <c r="K48" s="17"/>
      <c r="L48" s="13"/>
      <c r="M48" s="13"/>
    </row>
    <row r="49" spans="1:13">
      <c r="A49" s="17"/>
      <c r="B49" s="17"/>
      <c r="C49" s="17"/>
      <c r="D49" s="17"/>
      <c r="E49" s="17"/>
      <c r="F49" s="17"/>
      <c r="G49" s="17"/>
      <c r="H49" s="42"/>
      <c r="I49" s="42"/>
      <c r="J49" s="17"/>
      <c r="K49" s="17"/>
      <c r="L49" s="13"/>
      <c r="M49" s="13"/>
    </row>
    <row r="1048573" spans="1:9">
      <c r="A1048573" s="17"/>
      <c r="B1048573" s="17"/>
      <c r="C1048573" s="17"/>
      <c r="D1048573" s="17"/>
      <c r="E1048573" s="17"/>
      <c r="F1048573" s="17"/>
      <c r="G1048573" s="17"/>
      <c r="H1048573" s="42">
        <f>SUM(H2:H1048572)</f>
        <v>390065</v>
      </c>
      <c r="I1048573" s="42">
        <f>SUM(I2:I1048572)</f>
        <v>28110</v>
      </c>
    </row>
  </sheetData>
  <dataValidations count="1">
    <dataValidation type="list" sqref="F2:F21" xr:uid="{00000000-0002-0000-0600-000000000000}">
      <formula1>"Fire,Theft,Water,Wind,Other"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8"/>
  <sheetViews>
    <sheetView workbookViewId="0">
      <pane ySplit="1" topLeftCell="A2" activePane="bottomLeft" state="frozen"/>
      <selection pane="bottomLeft" activeCell="A3" sqref="A3:XFD5"/>
    </sheetView>
  </sheetViews>
  <sheetFormatPr defaultRowHeight="14.4"/>
  <cols>
    <col min="1" max="1" width="14.44140625" customWidth="1"/>
    <col min="2" max="2" width="17.88671875" customWidth="1"/>
    <col min="3" max="3" width="13.33203125" customWidth="1"/>
    <col min="4" max="4" width="17.88671875" customWidth="1"/>
    <col min="5" max="5" width="14.44140625" customWidth="1"/>
    <col min="6" max="6" width="13" customWidth="1"/>
    <col min="7" max="8" width="9.33203125" customWidth="1"/>
    <col min="9" max="24" width="13.5546875" customWidth="1"/>
  </cols>
  <sheetData>
    <row r="1" spans="1:8">
      <c r="A1" s="17" t="s">
        <v>0</v>
      </c>
      <c r="B1" s="17" t="s">
        <v>856</v>
      </c>
      <c r="C1" s="17" t="s">
        <v>10</v>
      </c>
      <c r="D1" s="17" t="s">
        <v>61</v>
      </c>
      <c r="E1" s="17" t="s">
        <v>857</v>
      </c>
      <c r="F1" s="17" t="s">
        <v>858</v>
      </c>
      <c r="G1" s="17" t="s">
        <v>859</v>
      </c>
      <c r="H1" s="17" t="s">
        <v>860</v>
      </c>
    </row>
    <row r="2" spans="1:8" ht="16.5" customHeight="1">
      <c r="A2" s="13" t="s">
        <v>78</v>
      </c>
      <c r="B2" s="45" t="s">
        <v>861</v>
      </c>
      <c r="C2" s="17" t="s">
        <v>83</v>
      </c>
      <c r="D2" s="17">
        <v>12</v>
      </c>
      <c r="E2" s="17">
        <v>14</v>
      </c>
      <c r="F2" s="13">
        <v>8675</v>
      </c>
      <c r="G2" s="17">
        <v>68606</v>
      </c>
    </row>
    <row r="3" spans="1:8" ht="16.5" customHeight="1">
      <c r="A3" s="13" t="s">
        <v>116</v>
      </c>
      <c r="B3" s="45" t="s">
        <v>861</v>
      </c>
      <c r="C3" s="17" t="s">
        <v>83</v>
      </c>
      <c r="D3" s="17">
        <v>9</v>
      </c>
      <c r="E3" s="17">
        <v>12</v>
      </c>
      <c r="F3" s="13">
        <v>4050</v>
      </c>
      <c r="G3" s="17">
        <v>68604</v>
      </c>
    </row>
    <row r="4" spans="1:8" ht="16.5" customHeight="1">
      <c r="A4" s="13" t="s">
        <v>116</v>
      </c>
      <c r="B4" s="46" t="s">
        <v>861</v>
      </c>
      <c r="C4" s="17" t="s">
        <v>83</v>
      </c>
      <c r="D4" s="17">
        <v>9</v>
      </c>
      <c r="E4" s="17">
        <v>12</v>
      </c>
      <c r="F4" s="13">
        <v>4050</v>
      </c>
      <c r="G4" s="17">
        <v>68604</v>
      </c>
    </row>
    <row r="5" spans="1:8" ht="16.5" customHeight="1">
      <c r="A5" s="13" t="s">
        <v>116</v>
      </c>
      <c r="B5" s="46" t="s">
        <v>861</v>
      </c>
      <c r="C5" s="17" t="s">
        <v>83</v>
      </c>
      <c r="D5" s="17">
        <v>9</v>
      </c>
      <c r="E5" s="17">
        <v>12</v>
      </c>
      <c r="F5" s="13">
        <v>4050</v>
      </c>
      <c r="G5" s="17">
        <v>68606</v>
      </c>
    </row>
    <row r="6" spans="1:8" ht="16.5" customHeight="1">
      <c r="A6" s="13" t="s">
        <v>116</v>
      </c>
      <c r="B6" s="46" t="s">
        <v>861</v>
      </c>
      <c r="C6" s="17" t="s">
        <v>83</v>
      </c>
      <c r="D6" s="17">
        <v>9</v>
      </c>
      <c r="E6" s="17">
        <v>12</v>
      </c>
      <c r="F6" s="13">
        <v>4050</v>
      </c>
      <c r="G6" s="17">
        <v>68604</v>
      </c>
    </row>
    <row r="7" spans="1:8" ht="16.5" customHeight="1">
      <c r="A7" s="13" t="s">
        <v>116</v>
      </c>
      <c r="B7" s="46" t="s">
        <v>861</v>
      </c>
      <c r="C7" s="17" t="s">
        <v>83</v>
      </c>
      <c r="D7" s="17">
        <v>9</v>
      </c>
      <c r="E7" s="17">
        <v>12</v>
      </c>
      <c r="F7" s="13">
        <v>4050</v>
      </c>
      <c r="G7" s="17">
        <v>68607</v>
      </c>
    </row>
    <row r="8" spans="1:8" ht="16.5" customHeight="1">
      <c r="A8" s="13" t="s">
        <v>151</v>
      </c>
      <c r="B8" s="45" t="s">
        <v>862</v>
      </c>
      <c r="C8" s="17" t="s">
        <v>83</v>
      </c>
      <c r="D8" s="17">
        <v>19</v>
      </c>
      <c r="E8" s="17">
        <v>21</v>
      </c>
      <c r="F8" s="13">
        <v>8225</v>
      </c>
      <c r="G8" s="17">
        <v>49452</v>
      </c>
      <c r="H8" s="17">
        <v>12500</v>
      </c>
    </row>
    <row r="9" spans="1:8" ht="16.5" customHeight="1">
      <c r="A9" s="13" t="s">
        <v>151</v>
      </c>
      <c r="B9" s="46" t="s">
        <v>862</v>
      </c>
      <c r="C9" s="17" t="s">
        <v>83</v>
      </c>
      <c r="D9" s="17">
        <v>19</v>
      </c>
      <c r="E9" s="17">
        <v>21</v>
      </c>
      <c r="F9" s="13">
        <v>8225</v>
      </c>
      <c r="G9" s="17">
        <v>49452</v>
      </c>
      <c r="H9" s="17">
        <v>12500</v>
      </c>
    </row>
    <row r="10" spans="1:8" ht="16.5" customHeight="1">
      <c r="A10" s="13" t="s">
        <v>151</v>
      </c>
      <c r="B10" s="46" t="s">
        <v>862</v>
      </c>
      <c r="C10" s="17" t="s">
        <v>83</v>
      </c>
      <c r="D10" s="17">
        <v>19</v>
      </c>
      <c r="E10" s="17">
        <v>21</v>
      </c>
      <c r="F10" s="13">
        <v>8225</v>
      </c>
      <c r="G10" s="17">
        <v>68607</v>
      </c>
    </row>
    <row r="11" spans="1:8" ht="16.5" customHeight="1">
      <c r="A11" s="13" t="s">
        <v>151</v>
      </c>
      <c r="B11" s="46" t="s">
        <v>862</v>
      </c>
      <c r="C11" s="17" t="s">
        <v>83</v>
      </c>
      <c r="D11" s="17">
        <v>19</v>
      </c>
      <c r="E11" s="17">
        <v>21</v>
      </c>
      <c r="F11" s="13">
        <v>8225</v>
      </c>
      <c r="G11" s="17">
        <v>68606</v>
      </c>
    </row>
    <row r="12" spans="1:8" ht="16.5" customHeight="1">
      <c r="A12" s="13" t="s">
        <v>188</v>
      </c>
      <c r="B12" s="45" t="s">
        <v>861</v>
      </c>
      <c r="C12" s="17" t="s">
        <v>83</v>
      </c>
      <c r="D12" s="17">
        <v>18</v>
      </c>
      <c r="E12" s="17">
        <v>23</v>
      </c>
      <c r="F12" s="13">
        <v>7550</v>
      </c>
      <c r="G12" s="17">
        <v>68606</v>
      </c>
    </row>
    <row r="13" spans="1:8" ht="16.5" customHeight="1">
      <c r="A13" s="13" t="s">
        <v>188</v>
      </c>
      <c r="B13" s="46" t="s">
        <v>861</v>
      </c>
      <c r="C13" s="17" t="s">
        <v>83</v>
      </c>
      <c r="D13" s="17">
        <v>18</v>
      </c>
      <c r="E13" s="17">
        <v>23</v>
      </c>
      <c r="F13" s="13">
        <v>7550</v>
      </c>
      <c r="G13" s="17">
        <v>68607</v>
      </c>
    </row>
    <row r="14" spans="1:8" ht="16.5" customHeight="1">
      <c r="A14" s="13" t="s">
        <v>188</v>
      </c>
      <c r="B14" s="46" t="s">
        <v>861</v>
      </c>
      <c r="C14" s="17" t="s">
        <v>83</v>
      </c>
      <c r="D14" s="17">
        <v>18</v>
      </c>
      <c r="E14" s="17">
        <v>23</v>
      </c>
      <c r="F14" s="13">
        <v>7550</v>
      </c>
      <c r="G14" s="17">
        <v>68604</v>
      </c>
    </row>
    <row r="15" spans="1:8" ht="16.5" customHeight="1">
      <c r="A15" s="13" t="s">
        <v>217</v>
      </c>
      <c r="B15" s="45" t="s">
        <v>861</v>
      </c>
      <c r="C15" s="17" t="s">
        <v>83</v>
      </c>
      <c r="D15" s="17">
        <v>5</v>
      </c>
      <c r="E15" s="17">
        <v>7</v>
      </c>
      <c r="F15" s="13">
        <v>8400</v>
      </c>
      <c r="G15" s="17">
        <v>49452</v>
      </c>
      <c r="H15" s="17">
        <v>14300</v>
      </c>
    </row>
    <row r="16" spans="1:8" ht="16.5" customHeight="1">
      <c r="A16" s="13" t="s">
        <v>217</v>
      </c>
      <c r="B16" s="46" t="s">
        <v>861</v>
      </c>
      <c r="C16" s="17" t="s">
        <v>83</v>
      </c>
      <c r="D16" s="17">
        <v>5</v>
      </c>
      <c r="E16" s="17">
        <v>7</v>
      </c>
      <c r="F16" s="13">
        <v>8400</v>
      </c>
      <c r="G16" s="17">
        <v>68604</v>
      </c>
    </row>
    <row r="17" spans="1:8" ht="16.5" customHeight="1">
      <c r="A17" s="13" t="s">
        <v>217</v>
      </c>
      <c r="B17" s="46" t="s">
        <v>861</v>
      </c>
      <c r="C17" s="17" t="s">
        <v>83</v>
      </c>
      <c r="D17" s="17">
        <v>5</v>
      </c>
      <c r="E17" s="17">
        <v>7</v>
      </c>
      <c r="F17" s="13">
        <v>8400</v>
      </c>
      <c r="G17" s="17">
        <v>68606</v>
      </c>
    </row>
    <row r="18" spans="1:8" ht="16.5" customHeight="1">
      <c r="A18" s="13" t="s">
        <v>217</v>
      </c>
      <c r="B18" s="46" t="s">
        <v>861</v>
      </c>
      <c r="C18" s="17" t="s">
        <v>83</v>
      </c>
      <c r="D18" s="17">
        <v>5</v>
      </c>
      <c r="E18" s="17">
        <v>7</v>
      </c>
      <c r="F18" s="13">
        <v>8400</v>
      </c>
      <c r="G18" s="17">
        <v>68606</v>
      </c>
    </row>
    <row r="19" spans="1:8" ht="16.5" customHeight="1">
      <c r="A19" s="13" t="s">
        <v>251</v>
      </c>
      <c r="B19" s="45" t="s">
        <v>861</v>
      </c>
      <c r="C19" s="17" t="s">
        <v>83</v>
      </c>
      <c r="D19" s="17">
        <v>8</v>
      </c>
      <c r="E19" s="17">
        <v>10</v>
      </c>
      <c r="F19" s="13">
        <v>9475</v>
      </c>
      <c r="G19" s="17">
        <v>68607</v>
      </c>
    </row>
    <row r="20" spans="1:8" ht="16.5" customHeight="1">
      <c r="A20" s="13" t="s">
        <v>251</v>
      </c>
      <c r="B20" s="46" t="s">
        <v>861</v>
      </c>
      <c r="C20" s="17" t="s">
        <v>83</v>
      </c>
      <c r="D20" s="17">
        <v>8</v>
      </c>
      <c r="E20" s="17">
        <v>10</v>
      </c>
      <c r="F20" s="13">
        <v>9475</v>
      </c>
      <c r="G20" s="17">
        <v>68606</v>
      </c>
    </row>
    <row r="21" spans="1:8" ht="16.5" customHeight="1">
      <c r="A21" s="13" t="s">
        <v>251</v>
      </c>
      <c r="B21" s="46" t="s">
        <v>861</v>
      </c>
      <c r="C21" s="17" t="s">
        <v>83</v>
      </c>
      <c r="D21" s="17">
        <v>8</v>
      </c>
      <c r="E21" s="17">
        <v>10</v>
      </c>
      <c r="F21" s="13">
        <v>9475</v>
      </c>
      <c r="G21" s="17">
        <v>68607</v>
      </c>
    </row>
    <row r="22" spans="1:8" ht="16.5" customHeight="1">
      <c r="A22" s="13" t="s">
        <v>251</v>
      </c>
      <c r="B22" s="46" t="s">
        <v>861</v>
      </c>
      <c r="C22" s="17" t="s">
        <v>83</v>
      </c>
      <c r="D22" s="17">
        <v>8</v>
      </c>
      <c r="E22" s="17">
        <v>10</v>
      </c>
      <c r="F22" s="13">
        <v>9475</v>
      </c>
      <c r="G22" s="17">
        <v>49452</v>
      </c>
      <c r="H22" s="17">
        <v>9600</v>
      </c>
    </row>
    <row r="23" spans="1:8" ht="16.5" customHeight="1">
      <c r="A23" s="13" t="s">
        <v>280</v>
      </c>
      <c r="B23" s="45" t="s">
        <v>861</v>
      </c>
      <c r="C23" s="17" t="s">
        <v>83</v>
      </c>
      <c r="D23" s="17">
        <v>18</v>
      </c>
      <c r="E23" s="17">
        <v>23</v>
      </c>
      <c r="F23" s="13">
        <v>8275</v>
      </c>
      <c r="G23" s="17">
        <v>68607</v>
      </c>
    </row>
    <row r="24" spans="1:8" ht="16.5" customHeight="1">
      <c r="A24" s="13" t="s">
        <v>280</v>
      </c>
      <c r="B24" s="46" t="s">
        <v>861</v>
      </c>
      <c r="C24" s="17" t="s">
        <v>83</v>
      </c>
      <c r="D24" s="17">
        <v>18</v>
      </c>
      <c r="E24" s="17">
        <v>23</v>
      </c>
      <c r="F24" s="13">
        <v>8275</v>
      </c>
      <c r="G24" s="17">
        <v>68606</v>
      </c>
    </row>
    <row r="25" spans="1:8" ht="16.5" customHeight="1">
      <c r="A25" s="13" t="s">
        <v>280</v>
      </c>
      <c r="B25" s="46" t="s">
        <v>861</v>
      </c>
      <c r="C25" s="17" t="s">
        <v>83</v>
      </c>
      <c r="D25" s="17">
        <v>18</v>
      </c>
      <c r="E25" s="17">
        <v>23</v>
      </c>
      <c r="F25" s="13">
        <v>8275</v>
      </c>
      <c r="G25" s="17">
        <v>68606</v>
      </c>
    </row>
    <row r="26" spans="1:8" ht="16.5" customHeight="1">
      <c r="A26" s="13" t="s">
        <v>280</v>
      </c>
      <c r="B26" s="46" t="s">
        <v>861</v>
      </c>
      <c r="C26" s="17" t="s">
        <v>83</v>
      </c>
      <c r="D26" s="17">
        <v>18</v>
      </c>
      <c r="E26" s="17">
        <v>23</v>
      </c>
      <c r="F26" s="13">
        <v>8275</v>
      </c>
      <c r="G26" s="17">
        <v>68606</v>
      </c>
    </row>
    <row r="27" spans="1:8" ht="16.5" customHeight="1">
      <c r="A27" s="13" t="s">
        <v>309</v>
      </c>
      <c r="B27" s="45" t="s">
        <v>863</v>
      </c>
      <c r="C27" s="17" t="s">
        <v>83</v>
      </c>
      <c r="D27" s="17">
        <v>8</v>
      </c>
      <c r="E27" s="17">
        <v>10</v>
      </c>
      <c r="F27" s="13">
        <v>9825</v>
      </c>
      <c r="G27" s="17">
        <v>49452</v>
      </c>
      <c r="H27" s="17">
        <v>18450</v>
      </c>
    </row>
    <row r="28" spans="1:8" ht="16.5" customHeight="1">
      <c r="A28" s="13" t="s">
        <v>309</v>
      </c>
      <c r="B28" s="46" t="s">
        <v>863</v>
      </c>
      <c r="C28" s="17" t="s">
        <v>83</v>
      </c>
      <c r="D28" s="17">
        <v>8</v>
      </c>
      <c r="E28" s="17">
        <v>10</v>
      </c>
      <c r="F28" s="13">
        <v>9825</v>
      </c>
      <c r="G28" s="17">
        <v>68607</v>
      </c>
    </row>
    <row r="29" spans="1:8" ht="16.5" customHeight="1">
      <c r="A29" s="13" t="s">
        <v>309</v>
      </c>
      <c r="B29" s="46" t="s">
        <v>863</v>
      </c>
      <c r="C29" s="17" t="s">
        <v>83</v>
      </c>
      <c r="D29" s="17">
        <v>8</v>
      </c>
      <c r="E29" s="17">
        <v>10</v>
      </c>
      <c r="F29" s="13">
        <v>9825</v>
      </c>
      <c r="G29" s="17">
        <v>49452</v>
      </c>
      <c r="H29" s="17">
        <v>14300</v>
      </c>
    </row>
    <row r="30" spans="1:8" ht="16.5" customHeight="1">
      <c r="A30" s="13" t="s">
        <v>309</v>
      </c>
      <c r="B30" s="46" t="s">
        <v>863</v>
      </c>
      <c r="C30" s="17" t="s">
        <v>83</v>
      </c>
      <c r="D30" s="17">
        <v>8</v>
      </c>
      <c r="E30" s="17">
        <v>10</v>
      </c>
      <c r="F30" s="13">
        <v>9825</v>
      </c>
      <c r="G30" s="17">
        <v>68607</v>
      </c>
    </row>
    <row r="31" spans="1:8" ht="16.5" customHeight="1">
      <c r="A31" s="13" t="s">
        <v>339</v>
      </c>
      <c r="B31" s="45" t="s">
        <v>861</v>
      </c>
      <c r="C31" s="17" t="s">
        <v>83</v>
      </c>
      <c r="D31" s="17">
        <v>16</v>
      </c>
      <c r="E31" s="17">
        <v>18</v>
      </c>
      <c r="F31" s="13">
        <v>9475</v>
      </c>
      <c r="G31" s="17">
        <v>68607</v>
      </c>
    </row>
    <row r="32" spans="1:8" ht="16.5" customHeight="1">
      <c r="A32" s="13" t="s">
        <v>339</v>
      </c>
      <c r="B32" s="46" t="s">
        <v>861</v>
      </c>
      <c r="C32" s="17" t="s">
        <v>83</v>
      </c>
      <c r="D32" s="17">
        <v>16</v>
      </c>
      <c r="E32" s="17">
        <v>18</v>
      </c>
      <c r="F32" s="13">
        <v>9475</v>
      </c>
      <c r="G32" s="17">
        <v>68604</v>
      </c>
    </row>
    <row r="33" spans="1:8" ht="16.5" customHeight="1">
      <c r="A33" s="13" t="s">
        <v>339</v>
      </c>
      <c r="B33" s="46" t="s">
        <v>861</v>
      </c>
      <c r="C33" s="17" t="s">
        <v>83</v>
      </c>
      <c r="D33" s="17">
        <v>16</v>
      </c>
      <c r="E33" s="17">
        <v>18</v>
      </c>
      <c r="F33" s="13">
        <v>9475</v>
      </c>
      <c r="G33" s="17">
        <v>49452</v>
      </c>
      <c r="H33" s="17">
        <v>27500</v>
      </c>
    </row>
    <row r="34" spans="1:8" ht="16.5" customHeight="1">
      <c r="A34" s="13" t="s">
        <v>339</v>
      </c>
      <c r="B34" s="46" t="s">
        <v>861</v>
      </c>
      <c r="C34" s="17" t="s">
        <v>83</v>
      </c>
      <c r="D34" s="17">
        <v>16</v>
      </c>
      <c r="E34" s="17">
        <v>18</v>
      </c>
      <c r="F34" s="13">
        <v>9475</v>
      </c>
      <c r="G34" s="17">
        <v>49452</v>
      </c>
      <c r="H34" s="17">
        <v>10300</v>
      </c>
    </row>
    <row r="35" spans="1:8" ht="16.5" customHeight="1">
      <c r="A35" s="13" t="s">
        <v>339</v>
      </c>
      <c r="B35" s="46" t="s">
        <v>861</v>
      </c>
      <c r="C35" s="17" t="s">
        <v>83</v>
      </c>
      <c r="D35" s="17">
        <v>16</v>
      </c>
      <c r="E35" s="17">
        <v>18</v>
      </c>
      <c r="F35" s="13">
        <v>9475</v>
      </c>
      <c r="G35" s="17">
        <v>68606</v>
      </c>
    </row>
    <row r="36" spans="1:8" ht="16.5" customHeight="1">
      <c r="A36" s="13" t="s">
        <v>369</v>
      </c>
      <c r="B36" s="45" t="s">
        <v>861</v>
      </c>
      <c r="C36" s="17" t="s">
        <v>83</v>
      </c>
      <c r="D36" s="17">
        <v>6</v>
      </c>
      <c r="E36" s="17">
        <v>8</v>
      </c>
      <c r="F36" s="13">
        <v>1675</v>
      </c>
      <c r="G36" s="17">
        <v>68604</v>
      </c>
    </row>
    <row r="37" spans="1:8" ht="16.5" customHeight="1">
      <c r="A37" s="13" t="s">
        <v>369</v>
      </c>
      <c r="B37" s="46" t="s">
        <v>861</v>
      </c>
      <c r="C37" s="17" t="s">
        <v>83</v>
      </c>
      <c r="D37" s="17">
        <v>6</v>
      </c>
      <c r="E37" s="17">
        <v>8</v>
      </c>
      <c r="F37" s="13">
        <v>1675</v>
      </c>
      <c r="G37" s="17">
        <v>68607</v>
      </c>
    </row>
    <row r="38" spans="1:8" ht="16.5" customHeight="1">
      <c r="A38" s="13" t="s">
        <v>369</v>
      </c>
      <c r="B38" s="46" t="s">
        <v>861</v>
      </c>
      <c r="C38" s="17" t="s">
        <v>83</v>
      </c>
      <c r="D38" s="17">
        <v>6</v>
      </c>
      <c r="E38" s="17">
        <v>8</v>
      </c>
      <c r="F38" s="13">
        <v>1675</v>
      </c>
      <c r="G38" s="17">
        <v>49452</v>
      </c>
      <c r="H38" s="17">
        <v>15400</v>
      </c>
    </row>
  </sheetData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8"/>
  <sheetViews>
    <sheetView workbookViewId="0">
      <selection activeCell="A3" sqref="A3:XFD5"/>
    </sheetView>
  </sheetViews>
  <sheetFormatPr defaultRowHeight="14.4"/>
  <cols>
    <col min="1" max="1" width="15.5546875" customWidth="1"/>
    <col min="2" max="2" width="38.44140625" style="62" customWidth="1"/>
    <col min="3" max="3" width="15.5546875" customWidth="1"/>
    <col min="4" max="4" width="15.44140625" customWidth="1"/>
    <col min="5" max="5" width="12.5546875" customWidth="1"/>
    <col min="6" max="6" width="13.88671875" customWidth="1"/>
    <col min="7" max="7" width="14.33203125" customWidth="1"/>
    <col min="8" max="8" width="9.33203125" customWidth="1"/>
    <col min="9" max="24" width="13.5546875" customWidth="1"/>
  </cols>
  <sheetData>
    <row r="1" spans="1:8">
      <c r="A1" s="17" t="s">
        <v>0</v>
      </c>
      <c r="B1" s="60" t="s">
        <v>856</v>
      </c>
      <c r="C1" s="17" t="s">
        <v>10</v>
      </c>
      <c r="D1" s="17" t="s">
        <v>61</v>
      </c>
      <c r="E1" s="17" t="s">
        <v>857</v>
      </c>
      <c r="F1" s="17" t="s">
        <v>858</v>
      </c>
      <c r="G1" s="17" t="s">
        <v>859</v>
      </c>
      <c r="H1" s="17" t="s">
        <v>860</v>
      </c>
    </row>
    <row r="2" spans="1:8" ht="13.2" customHeight="1">
      <c r="A2" s="13" t="s">
        <v>78</v>
      </c>
      <c r="B2" s="61" t="s">
        <v>1632</v>
      </c>
      <c r="C2" s="17" t="s">
        <v>83</v>
      </c>
      <c r="D2" s="17">
        <v>12</v>
      </c>
      <c r="E2" s="17">
        <v>14</v>
      </c>
      <c r="F2" s="13">
        <v>8675</v>
      </c>
      <c r="G2" s="17">
        <v>68606</v>
      </c>
    </row>
    <row r="3" spans="1:8" ht="13.2" customHeight="1">
      <c r="A3" s="13" t="s">
        <v>116</v>
      </c>
      <c r="B3" s="61" t="s">
        <v>1632</v>
      </c>
      <c r="C3" s="17" t="s">
        <v>83</v>
      </c>
      <c r="D3" s="17">
        <v>9</v>
      </c>
      <c r="E3" s="17">
        <v>12</v>
      </c>
      <c r="F3" s="13">
        <v>4050</v>
      </c>
      <c r="G3" s="17">
        <v>68604</v>
      </c>
    </row>
    <row r="4" spans="1:8" ht="13.2" customHeight="1">
      <c r="A4" s="13" t="s">
        <v>116</v>
      </c>
      <c r="B4" s="61" t="s">
        <v>1632</v>
      </c>
      <c r="C4" s="17" t="s">
        <v>83</v>
      </c>
      <c r="D4" s="17">
        <v>9</v>
      </c>
      <c r="E4" s="17">
        <v>12</v>
      </c>
      <c r="F4" s="13">
        <v>4050</v>
      </c>
      <c r="G4" s="17">
        <v>68604</v>
      </c>
    </row>
    <row r="5" spans="1:8" ht="13.2" customHeight="1">
      <c r="A5" s="13" t="s">
        <v>116</v>
      </c>
      <c r="B5" s="61" t="s">
        <v>1632</v>
      </c>
      <c r="C5" s="17" t="s">
        <v>83</v>
      </c>
      <c r="D5" s="17">
        <v>9</v>
      </c>
      <c r="E5" s="17">
        <v>12</v>
      </c>
      <c r="F5" s="13">
        <v>4050</v>
      </c>
      <c r="G5" s="17">
        <v>68606</v>
      </c>
    </row>
    <row r="6" spans="1:8" ht="13.2" customHeight="1">
      <c r="A6" s="13" t="s">
        <v>116</v>
      </c>
      <c r="B6" s="61" t="s">
        <v>1632</v>
      </c>
      <c r="C6" s="17" t="s">
        <v>83</v>
      </c>
      <c r="D6" s="17">
        <v>9</v>
      </c>
      <c r="E6" s="17">
        <v>12</v>
      </c>
      <c r="F6" s="13">
        <v>4050</v>
      </c>
      <c r="G6" s="17">
        <v>68604</v>
      </c>
    </row>
    <row r="7" spans="1:8" ht="13.2" customHeight="1">
      <c r="A7" s="13" t="s">
        <v>116</v>
      </c>
      <c r="B7" s="61" t="s">
        <v>1632</v>
      </c>
      <c r="C7" s="17" t="s">
        <v>83</v>
      </c>
      <c r="D7" s="17">
        <v>9</v>
      </c>
      <c r="E7" s="17">
        <v>12</v>
      </c>
      <c r="F7" s="13">
        <v>4050</v>
      </c>
      <c r="G7" s="17">
        <v>68607</v>
      </c>
    </row>
    <row r="8" spans="1:8" ht="13.2" customHeight="1">
      <c r="A8" s="13" t="s">
        <v>151</v>
      </c>
      <c r="B8" s="61" t="s">
        <v>1633</v>
      </c>
      <c r="C8" s="17" t="s">
        <v>83</v>
      </c>
      <c r="D8" s="17">
        <v>19</v>
      </c>
      <c r="E8" s="17">
        <v>21</v>
      </c>
      <c r="F8" s="13">
        <v>8225</v>
      </c>
      <c r="G8" s="17">
        <v>49452</v>
      </c>
      <c r="H8" s="17">
        <v>12500</v>
      </c>
    </row>
    <row r="9" spans="1:8" ht="13.2" customHeight="1">
      <c r="A9" s="13" t="s">
        <v>151</v>
      </c>
      <c r="B9" s="61" t="s">
        <v>1633</v>
      </c>
      <c r="C9" s="17" t="s">
        <v>83</v>
      </c>
      <c r="D9" s="17">
        <v>19</v>
      </c>
      <c r="E9" s="17">
        <v>21</v>
      </c>
      <c r="F9" s="13">
        <v>8225</v>
      </c>
      <c r="G9" s="17">
        <v>49452</v>
      </c>
      <c r="H9" s="17">
        <v>12500</v>
      </c>
    </row>
    <row r="10" spans="1:8" ht="13.2" customHeight="1">
      <c r="A10" s="13" t="s">
        <v>151</v>
      </c>
      <c r="B10" s="61" t="s">
        <v>1633</v>
      </c>
      <c r="C10" s="17" t="s">
        <v>83</v>
      </c>
      <c r="D10" s="17">
        <v>19</v>
      </c>
      <c r="E10" s="17">
        <v>21</v>
      </c>
      <c r="F10" s="13">
        <v>8225</v>
      </c>
      <c r="G10" s="17">
        <v>68607</v>
      </c>
    </row>
    <row r="11" spans="1:8" ht="13.2" customHeight="1">
      <c r="A11" s="13" t="s">
        <v>151</v>
      </c>
      <c r="B11" s="61" t="s">
        <v>1633</v>
      </c>
      <c r="C11" s="17" t="s">
        <v>83</v>
      </c>
      <c r="D11" s="17">
        <v>19</v>
      </c>
      <c r="E11" s="17">
        <v>21</v>
      </c>
      <c r="F11" s="13">
        <v>8225</v>
      </c>
      <c r="G11" s="17">
        <v>68606</v>
      </c>
    </row>
    <row r="12" spans="1:8" ht="13.2" customHeight="1">
      <c r="A12" s="13" t="s">
        <v>188</v>
      </c>
      <c r="B12" s="61" t="s">
        <v>1632</v>
      </c>
      <c r="C12" s="17" t="s">
        <v>83</v>
      </c>
      <c r="D12" s="17">
        <v>18</v>
      </c>
      <c r="E12" s="17">
        <v>23</v>
      </c>
      <c r="F12" s="13">
        <v>7550</v>
      </c>
      <c r="G12" s="17">
        <v>68606</v>
      </c>
    </row>
    <row r="13" spans="1:8" ht="13.2" customHeight="1">
      <c r="A13" s="13" t="s">
        <v>188</v>
      </c>
      <c r="B13" s="61" t="s">
        <v>1632</v>
      </c>
      <c r="C13" s="17" t="s">
        <v>83</v>
      </c>
      <c r="D13" s="17">
        <v>18</v>
      </c>
      <c r="E13" s="17">
        <v>23</v>
      </c>
      <c r="F13" s="13">
        <v>7550</v>
      </c>
      <c r="G13" s="17">
        <v>68607</v>
      </c>
    </row>
    <row r="14" spans="1:8" ht="13.2" customHeight="1">
      <c r="A14" s="13" t="s">
        <v>188</v>
      </c>
      <c r="B14" s="61" t="s">
        <v>1632</v>
      </c>
      <c r="C14" s="17" t="s">
        <v>83</v>
      </c>
      <c r="D14" s="17">
        <v>18</v>
      </c>
      <c r="E14" s="17">
        <v>23</v>
      </c>
      <c r="F14" s="13">
        <v>7550</v>
      </c>
      <c r="G14" s="17">
        <v>68604</v>
      </c>
    </row>
    <row r="15" spans="1:8" ht="13.2" customHeight="1">
      <c r="A15" s="13" t="s">
        <v>217</v>
      </c>
      <c r="B15" s="61" t="s">
        <v>1632</v>
      </c>
      <c r="C15" s="17" t="s">
        <v>83</v>
      </c>
      <c r="D15" s="17">
        <v>5</v>
      </c>
      <c r="E15" s="17">
        <v>7</v>
      </c>
      <c r="F15" s="13">
        <v>8400</v>
      </c>
      <c r="G15" s="17">
        <v>49452</v>
      </c>
      <c r="H15" s="17">
        <v>14300</v>
      </c>
    </row>
    <row r="16" spans="1:8" ht="13.2" customHeight="1">
      <c r="A16" s="13" t="s">
        <v>217</v>
      </c>
      <c r="B16" s="61" t="s">
        <v>1632</v>
      </c>
      <c r="C16" s="17" t="s">
        <v>83</v>
      </c>
      <c r="D16" s="17">
        <v>5</v>
      </c>
      <c r="E16" s="17">
        <v>7</v>
      </c>
      <c r="F16" s="13">
        <v>8400</v>
      </c>
      <c r="G16" s="17">
        <v>68604</v>
      </c>
    </row>
    <row r="17" spans="1:8" ht="13.2" customHeight="1">
      <c r="A17" s="13" t="s">
        <v>217</v>
      </c>
      <c r="B17" s="61" t="s">
        <v>1632</v>
      </c>
      <c r="C17" s="17" t="s">
        <v>83</v>
      </c>
      <c r="D17" s="17">
        <v>5</v>
      </c>
      <c r="E17" s="17">
        <v>7</v>
      </c>
      <c r="F17" s="13">
        <v>8400</v>
      </c>
      <c r="G17" s="17">
        <v>68606</v>
      </c>
    </row>
    <row r="18" spans="1:8" ht="13.2" customHeight="1">
      <c r="A18" s="13" t="s">
        <v>217</v>
      </c>
      <c r="B18" s="61" t="s">
        <v>1632</v>
      </c>
      <c r="C18" s="17" t="s">
        <v>83</v>
      </c>
      <c r="D18" s="17">
        <v>5</v>
      </c>
      <c r="E18" s="17">
        <v>7</v>
      </c>
      <c r="F18" s="13">
        <v>8400</v>
      </c>
      <c r="G18" s="17">
        <v>68606</v>
      </c>
    </row>
    <row r="19" spans="1:8" ht="13.2" customHeight="1">
      <c r="A19" s="13" t="s">
        <v>251</v>
      </c>
      <c r="B19" s="61" t="s">
        <v>1632</v>
      </c>
      <c r="C19" s="17" t="s">
        <v>83</v>
      </c>
      <c r="D19" s="17">
        <v>8</v>
      </c>
      <c r="E19" s="17">
        <v>10</v>
      </c>
      <c r="F19" s="13">
        <v>9475</v>
      </c>
      <c r="G19" s="17">
        <v>68607</v>
      </c>
    </row>
    <row r="20" spans="1:8" ht="13.2" customHeight="1">
      <c r="A20" s="13" t="s">
        <v>251</v>
      </c>
      <c r="B20" s="61" t="s">
        <v>1632</v>
      </c>
      <c r="C20" s="17" t="s">
        <v>83</v>
      </c>
      <c r="D20" s="17">
        <v>8</v>
      </c>
      <c r="E20" s="17">
        <v>10</v>
      </c>
      <c r="F20" s="13">
        <v>9475</v>
      </c>
      <c r="G20" s="17">
        <v>68606</v>
      </c>
    </row>
    <row r="21" spans="1:8" ht="13.2" customHeight="1">
      <c r="A21" s="13" t="s">
        <v>251</v>
      </c>
      <c r="B21" s="61" t="s">
        <v>1632</v>
      </c>
      <c r="C21" s="17" t="s">
        <v>83</v>
      </c>
      <c r="D21" s="17">
        <v>8</v>
      </c>
      <c r="E21" s="17">
        <v>10</v>
      </c>
      <c r="F21" s="13">
        <v>9475</v>
      </c>
      <c r="G21" s="17">
        <v>68607</v>
      </c>
    </row>
    <row r="22" spans="1:8" ht="13.2" customHeight="1">
      <c r="A22" s="13" t="s">
        <v>251</v>
      </c>
      <c r="B22" s="61" t="s">
        <v>1632</v>
      </c>
      <c r="C22" s="17" t="s">
        <v>83</v>
      </c>
      <c r="D22" s="17">
        <v>8</v>
      </c>
      <c r="E22" s="17">
        <v>10</v>
      </c>
      <c r="F22" s="13">
        <v>9475</v>
      </c>
      <c r="G22" s="17">
        <v>49452</v>
      </c>
      <c r="H22" s="17">
        <v>9600</v>
      </c>
    </row>
    <row r="23" spans="1:8" ht="13.2" customHeight="1">
      <c r="A23" s="13" t="s">
        <v>280</v>
      </c>
      <c r="B23" s="61" t="s">
        <v>1632</v>
      </c>
      <c r="C23" s="17" t="s">
        <v>83</v>
      </c>
      <c r="D23" s="17">
        <v>18</v>
      </c>
      <c r="E23" s="17">
        <v>23</v>
      </c>
      <c r="F23" s="13">
        <v>8275</v>
      </c>
      <c r="G23" s="17">
        <v>68607</v>
      </c>
    </row>
    <row r="24" spans="1:8" ht="13.2" customHeight="1">
      <c r="A24" s="13" t="s">
        <v>280</v>
      </c>
      <c r="B24" s="61" t="s">
        <v>1632</v>
      </c>
      <c r="C24" s="17" t="s">
        <v>83</v>
      </c>
      <c r="D24" s="17">
        <v>18</v>
      </c>
      <c r="E24" s="17">
        <v>23</v>
      </c>
      <c r="F24" s="13">
        <v>8275</v>
      </c>
      <c r="G24" s="17">
        <v>68606</v>
      </c>
    </row>
    <row r="25" spans="1:8" ht="13.2" customHeight="1">
      <c r="A25" s="13" t="s">
        <v>280</v>
      </c>
      <c r="B25" s="61" t="s">
        <v>1632</v>
      </c>
      <c r="C25" s="17" t="s">
        <v>83</v>
      </c>
      <c r="D25" s="17">
        <v>18</v>
      </c>
      <c r="E25" s="17">
        <v>23</v>
      </c>
      <c r="F25" s="13">
        <v>8275</v>
      </c>
      <c r="G25" s="17">
        <v>68606</v>
      </c>
    </row>
    <row r="26" spans="1:8" ht="13.2" customHeight="1">
      <c r="A26" s="13" t="s">
        <v>280</v>
      </c>
      <c r="B26" s="61" t="s">
        <v>1632</v>
      </c>
      <c r="C26" s="17" t="s">
        <v>83</v>
      </c>
      <c r="D26" s="17">
        <v>18</v>
      </c>
      <c r="E26" s="17">
        <v>23</v>
      </c>
      <c r="F26" s="13">
        <v>8275</v>
      </c>
      <c r="G26" s="17">
        <v>68606</v>
      </c>
    </row>
    <row r="27" spans="1:8" ht="13.2" customHeight="1">
      <c r="A27" s="13" t="s">
        <v>309</v>
      </c>
      <c r="B27" s="63" t="s">
        <v>1634</v>
      </c>
      <c r="C27" s="17" t="s">
        <v>83</v>
      </c>
      <c r="D27" s="17">
        <v>8</v>
      </c>
      <c r="E27" s="17">
        <v>10</v>
      </c>
      <c r="F27" s="13">
        <v>9825</v>
      </c>
      <c r="G27" s="17">
        <v>49452</v>
      </c>
      <c r="H27" s="17">
        <v>18450</v>
      </c>
    </row>
    <row r="28" spans="1:8" ht="13.2" customHeight="1">
      <c r="A28" s="13" t="s">
        <v>309</v>
      </c>
      <c r="B28" s="63" t="s">
        <v>1634</v>
      </c>
      <c r="C28" s="17" t="s">
        <v>83</v>
      </c>
      <c r="D28" s="17">
        <v>8</v>
      </c>
      <c r="E28" s="17">
        <v>10</v>
      </c>
      <c r="F28" s="13">
        <v>9825</v>
      </c>
      <c r="G28" s="17">
        <v>68607</v>
      </c>
    </row>
    <row r="29" spans="1:8" ht="13.2" customHeight="1">
      <c r="A29" s="13" t="s">
        <v>309</v>
      </c>
      <c r="B29" s="63" t="s">
        <v>1634</v>
      </c>
      <c r="C29" s="17" t="s">
        <v>83</v>
      </c>
      <c r="D29" s="17">
        <v>8</v>
      </c>
      <c r="E29" s="17">
        <v>10</v>
      </c>
      <c r="F29" s="13">
        <v>9825</v>
      </c>
      <c r="G29" s="17">
        <v>49452</v>
      </c>
      <c r="H29" s="17">
        <v>14300</v>
      </c>
    </row>
    <row r="30" spans="1:8" ht="13.2" customHeight="1">
      <c r="A30" s="13" t="s">
        <v>309</v>
      </c>
      <c r="B30" s="63" t="s">
        <v>1634</v>
      </c>
      <c r="C30" s="17" t="s">
        <v>83</v>
      </c>
      <c r="D30" s="17">
        <v>8</v>
      </c>
      <c r="E30" s="17">
        <v>10</v>
      </c>
      <c r="F30" s="13">
        <v>9825</v>
      </c>
      <c r="G30" s="17">
        <v>68607</v>
      </c>
    </row>
    <row r="31" spans="1:8" ht="13.2" customHeight="1">
      <c r="A31" s="13" t="s">
        <v>339</v>
      </c>
      <c r="B31" s="61" t="s">
        <v>1632</v>
      </c>
      <c r="C31" s="17" t="s">
        <v>83</v>
      </c>
      <c r="D31" s="17">
        <v>16</v>
      </c>
      <c r="E31" s="17">
        <v>18</v>
      </c>
      <c r="F31" s="13">
        <v>9475</v>
      </c>
      <c r="G31" s="17">
        <v>68607</v>
      </c>
    </row>
    <row r="32" spans="1:8" ht="13.2" customHeight="1">
      <c r="A32" s="13" t="s">
        <v>339</v>
      </c>
      <c r="B32" s="61" t="s">
        <v>1632</v>
      </c>
      <c r="C32" s="17" t="s">
        <v>83</v>
      </c>
      <c r="D32" s="17">
        <v>16</v>
      </c>
      <c r="E32" s="17">
        <v>18</v>
      </c>
      <c r="F32" s="13">
        <v>9475</v>
      </c>
      <c r="G32" s="17">
        <v>68604</v>
      </c>
    </row>
    <row r="33" spans="1:8" ht="13.2" customHeight="1">
      <c r="A33" s="13" t="s">
        <v>339</v>
      </c>
      <c r="B33" s="61" t="s">
        <v>1632</v>
      </c>
      <c r="C33" s="17" t="s">
        <v>83</v>
      </c>
      <c r="D33" s="17">
        <v>16</v>
      </c>
      <c r="E33" s="17">
        <v>18</v>
      </c>
      <c r="F33" s="13">
        <v>9475</v>
      </c>
      <c r="G33" s="17">
        <v>49452</v>
      </c>
      <c r="H33" s="17">
        <v>27500</v>
      </c>
    </row>
    <row r="34" spans="1:8" ht="13.2" customHeight="1">
      <c r="A34" s="13" t="s">
        <v>339</v>
      </c>
      <c r="B34" s="61" t="s">
        <v>1632</v>
      </c>
      <c r="C34" s="17" t="s">
        <v>83</v>
      </c>
      <c r="D34" s="17">
        <v>16</v>
      </c>
      <c r="E34" s="17">
        <v>18</v>
      </c>
      <c r="F34" s="13">
        <v>9475</v>
      </c>
      <c r="G34" s="17">
        <v>49452</v>
      </c>
      <c r="H34" s="17">
        <v>10300</v>
      </c>
    </row>
    <row r="35" spans="1:8" ht="13.2" customHeight="1">
      <c r="A35" s="13" t="s">
        <v>339</v>
      </c>
      <c r="B35" s="61" t="s">
        <v>1632</v>
      </c>
      <c r="C35" s="17" t="s">
        <v>83</v>
      </c>
      <c r="D35" s="17">
        <v>16</v>
      </c>
      <c r="E35" s="17">
        <v>18</v>
      </c>
      <c r="F35" s="13">
        <v>9475</v>
      </c>
      <c r="G35" s="17">
        <v>68606</v>
      </c>
    </row>
    <row r="36" spans="1:8" ht="13.2" customHeight="1">
      <c r="A36" s="13" t="s">
        <v>369</v>
      </c>
      <c r="B36" s="61" t="s">
        <v>1632</v>
      </c>
      <c r="C36" s="17" t="s">
        <v>83</v>
      </c>
      <c r="D36" s="17">
        <v>6</v>
      </c>
      <c r="E36" s="17">
        <v>8</v>
      </c>
      <c r="F36" s="13">
        <v>1675</v>
      </c>
      <c r="G36" s="17">
        <v>68604</v>
      </c>
    </row>
    <row r="37" spans="1:8" ht="13.2" customHeight="1">
      <c r="A37" s="13" t="s">
        <v>369</v>
      </c>
      <c r="B37" s="61" t="s">
        <v>1632</v>
      </c>
      <c r="C37" s="17" t="s">
        <v>83</v>
      </c>
      <c r="D37" s="17">
        <v>6</v>
      </c>
      <c r="E37" s="17">
        <v>8</v>
      </c>
      <c r="F37" s="13">
        <v>1675</v>
      </c>
      <c r="G37" s="17">
        <v>68607</v>
      </c>
    </row>
    <row r="38" spans="1:8" ht="13.2" customHeight="1">
      <c r="A38" s="13" t="s">
        <v>369</v>
      </c>
      <c r="B38" s="61" t="s">
        <v>1632</v>
      </c>
      <c r="C38" s="17" t="s">
        <v>83</v>
      </c>
      <c r="D38" s="17">
        <v>6</v>
      </c>
      <c r="E38" s="17">
        <v>8</v>
      </c>
      <c r="F38" s="13">
        <v>1675</v>
      </c>
      <c r="G38" s="17">
        <v>49452</v>
      </c>
      <c r="H38" s="17">
        <v>15400</v>
      </c>
    </row>
  </sheetData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2"/>
  <sheetViews>
    <sheetView workbookViewId="0"/>
  </sheetViews>
  <sheetFormatPr defaultRowHeight="14.4"/>
  <cols>
    <col min="1" max="1" width="9.33203125" customWidth="1"/>
    <col min="2" max="2" width="18.109375" customWidth="1"/>
    <col min="3" max="3" width="32" customWidth="1"/>
    <col min="4" max="4" width="33" customWidth="1"/>
    <col min="5" max="5" width="42.109375" customWidth="1"/>
    <col min="6" max="6" width="34.44140625" customWidth="1"/>
    <col min="7" max="24" width="13.5546875" customWidth="1"/>
  </cols>
  <sheetData>
    <row r="1" spans="1:6">
      <c r="A1" s="17" t="s">
        <v>0</v>
      </c>
      <c r="B1" s="17" t="s">
        <v>864</v>
      </c>
      <c r="C1" s="17" t="s">
        <v>865</v>
      </c>
      <c r="D1" s="17" t="s">
        <v>866</v>
      </c>
      <c r="E1" s="17" t="s">
        <v>867</v>
      </c>
      <c r="F1" s="17" t="s">
        <v>868</v>
      </c>
    </row>
    <row r="2" spans="1:6">
      <c r="A2" s="1" t="s">
        <v>78</v>
      </c>
      <c r="B2" s="16" t="s">
        <v>80</v>
      </c>
      <c r="C2" s="16" t="s">
        <v>80</v>
      </c>
      <c r="D2" s="16" t="s">
        <v>81</v>
      </c>
      <c r="E2" s="16" t="s">
        <v>80</v>
      </c>
      <c r="F2" s="16">
        <v>47000</v>
      </c>
    </row>
    <row r="3" spans="1:6">
      <c r="A3" s="1" t="s">
        <v>116</v>
      </c>
      <c r="B3" s="16" t="s">
        <v>81</v>
      </c>
      <c r="C3" s="16" t="s">
        <v>80</v>
      </c>
      <c r="D3" s="16" t="s">
        <v>80</v>
      </c>
      <c r="E3" s="16" t="s">
        <v>80</v>
      </c>
      <c r="F3" s="16">
        <v>33000</v>
      </c>
    </row>
    <row r="4" spans="1:6">
      <c r="A4" s="1" t="s">
        <v>151</v>
      </c>
      <c r="B4" s="16" t="s">
        <v>80</v>
      </c>
      <c r="C4" s="16" t="s">
        <v>80</v>
      </c>
      <c r="D4" s="16" t="s">
        <v>81</v>
      </c>
      <c r="E4" s="16" t="s">
        <v>80</v>
      </c>
      <c r="F4" s="16">
        <v>12000</v>
      </c>
    </row>
    <row r="5" spans="1:6">
      <c r="A5" s="1" t="s">
        <v>188</v>
      </c>
      <c r="B5" s="16" t="s">
        <v>80</v>
      </c>
      <c r="C5" s="16" t="s">
        <v>81</v>
      </c>
      <c r="D5" s="16" t="s">
        <v>80</v>
      </c>
      <c r="E5" s="16" t="s">
        <v>81</v>
      </c>
      <c r="F5" s="16">
        <v>59000</v>
      </c>
    </row>
    <row r="6" spans="1:6">
      <c r="A6" s="1" t="s">
        <v>217</v>
      </c>
      <c r="B6" s="16" t="s">
        <v>80</v>
      </c>
      <c r="C6" s="16" t="s">
        <v>80</v>
      </c>
      <c r="D6" s="16" t="s">
        <v>81</v>
      </c>
      <c r="E6" s="16" t="s">
        <v>80</v>
      </c>
      <c r="F6" s="16">
        <v>12740</v>
      </c>
    </row>
    <row r="7" spans="1:6">
      <c r="A7" s="1" t="s">
        <v>251</v>
      </c>
      <c r="B7" s="16" t="s">
        <v>80</v>
      </c>
      <c r="C7" s="16" t="s">
        <v>81</v>
      </c>
      <c r="D7" s="16" t="s">
        <v>80</v>
      </c>
      <c r="E7" s="16" t="s">
        <v>81</v>
      </c>
      <c r="F7" s="16">
        <v>37000</v>
      </c>
    </row>
    <row r="8" spans="1:6">
      <c r="A8" s="1" t="s">
        <v>280</v>
      </c>
      <c r="B8" s="16" t="s">
        <v>80</v>
      </c>
      <c r="C8" s="16" t="s">
        <v>80</v>
      </c>
      <c r="D8" s="16" t="s">
        <v>80</v>
      </c>
      <c r="E8" s="16" t="s">
        <v>80</v>
      </c>
      <c r="F8" s="16">
        <v>45000</v>
      </c>
    </row>
    <row r="9" spans="1:6">
      <c r="A9" s="1" t="s">
        <v>309</v>
      </c>
      <c r="B9" s="16" t="s">
        <v>81</v>
      </c>
      <c r="C9" s="16" t="s">
        <v>81</v>
      </c>
      <c r="D9" s="16" t="s">
        <v>81</v>
      </c>
      <c r="E9" s="16" t="s">
        <v>81</v>
      </c>
      <c r="F9" s="16">
        <v>12000</v>
      </c>
    </row>
    <row r="10" spans="1:6">
      <c r="A10" s="1" t="s">
        <v>339</v>
      </c>
      <c r="B10" s="16" t="s">
        <v>80</v>
      </c>
      <c r="C10" s="16" t="s">
        <v>80</v>
      </c>
      <c r="D10" s="16" t="s">
        <v>80</v>
      </c>
      <c r="E10" s="16" t="s">
        <v>80</v>
      </c>
      <c r="F10" s="16">
        <v>35000</v>
      </c>
    </row>
    <row r="11" spans="1:6">
      <c r="A11" s="1" t="s">
        <v>369</v>
      </c>
      <c r="B11" s="16" t="s">
        <v>81</v>
      </c>
      <c r="C11" s="16" t="s">
        <v>80</v>
      </c>
      <c r="D11" s="16" t="s">
        <v>80</v>
      </c>
      <c r="E11" s="16" t="s">
        <v>80</v>
      </c>
      <c r="F11" s="16">
        <v>23000</v>
      </c>
    </row>
    <row r="12" spans="1:6">
      <c r="A12" s="17"/>
      <c r="B12" s="17"/>
      <c r="C12" s="17"/>
      <c r="D12" s="16"/>
    </row>
  </sheetData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0"/>
  <sheetViews>
    <sheetView workbookViewId="0">
      <pane ySplit="1" topLeftCell="A2" activePane="bottomLeft" state="frozen"/>
      <selection pane="bottomLeft" activeCell="G16" sqref="G16"/>
    </sheetView>
  </sheetViews>
  <sheetFormatPr defaultRowHeight="14.4"/>
  <cols>
    <col min="1" max="1" width="17.109375" customWidth="1"/>
    <col min="2" max="2" width="18" customWidth="1"/>
    <col min="3" max="3" width="27.88671875" customWidth="1"/>
    <col min="4" max="4" width="23.109375" customWidth="1"/>
    <col min="5" max="5" width="23.33203125" customWidth="1"/>
    <col min="6" max="6" width="18.33203125" customWidth="1"/>
    <col min="7" max="7" width="16.88671875" customWidth="1"/>
    <col min="8" max="8" width="9.33203125" customWidth="1"/>
    <col min="9" max="24" width="13.5546875" customWidth="1"/>
  </cols>
  <sheetData>
    <row r="1" spans="1:8">
      <c r="A1" s="17" t="s">
        <v>0</v>
      </c>
      <c r="B1" s="17" t="s">
        <v>869</v>
      </c>
      <c r="C1" s="17" t="s">
        <v>870</v>
      </c>
      <c r="D1" s="17" t="s">
        <v>708</v>
      </c>
      <c r="E1" s="17" t="s">
        <v>709</v>
      </c>
      <c r="F1" s="17" t="s">
        <v>395</v>
      </c>
      <c r="G1" s="17" t="s">
        <v>146</v>
      </c>
      <c r="H1" s="17" t="s">
        <v>396</v>
      </c>
    </row>
    <row r="2" spans="1:8">
      <c r="A2" s="13" t="s">
        <v>78</v>
      </c>
      <c r="B2" s="17" t="s">
        <v>871</v>
      </c>
      <c r="C2" s="17" t="s">
        <v>872</v>
      </c>
      <c r="D2" s="17" t="s">
        <v>873</v>
      </c>
      <c r="E2" s="17" t="s">
        <v>292</v>
      </c>
      <c r="F2" s="17" t="s">
        <v>717</v>
      </c>
      <c r="G2" s="17" t="s">
        <v>281</v>
      </c>
      <c r="H2" s="17">
        <v>22314</v>
      </c>
    </row>
    <row r="3" spans="1:8">
      <c r="A3" s="13" t="s">
        <v>78</v>
      </c>
      <c r="B3" s="17" t="s">
        <v>874</v>
      </c>
      <c r="C3" s="17" t="s">
        <v>875</v>
      </c>
      <c r="D3" s="17" t="s">
        <v>876</v>
      </c>
      <c r="E3" s="17" t="s">
        <v>877</v>
      </c>
      <c r="F3" s="17" t="s">
        <v>724</v>
      </c>
      <c r="G3" s="17" t="s">
        <v>79</v>
      </c>
      <c r="H3" s="17">
        <v>21202</v>
      </c>
    </row>
    <row r="4" spans="1:8">
      <c r="A4" s="13" t="s">
        <v>78</v>
      </c>
      <c r="B4" s="17" t="s">
        <v>878</v>
      </c>
      <c r="C4" s="17" t="s">
        <v>879</v>
      </c>
      <c r="D4" s="17" t="s">
        <v>880</v>
      </c>
      <c r="E4" s="17" t="s">
        <v>589</v>
      </c>
      <c r="F4" s="17" t="s">
        <v>443</v>
      </c>
      <c r="G4" s="17" t="s">
        <v>152</v>
      </c>
      <c r="H4" s="17">
        <v>20002</v>
      </c>
    </row>
    <row r="5" spans="1:8">
      <c r="A5" s="13" t="s">
        <v>78</v>
      </c>
      <c r="B5" s="17" t="s">
        <v>881</v>
      </c>
      <c r="C5" s="17" t="s">
        <v>882</v>
      </c>
      <c r="D5" s="17" t="s">
        <v>883</v>
      </c>
      <c r="E5" s="17" t="s">
        <v>716</v>
      </c>
      <c r="F5" s="17" t="s">
        <v>741</v>
      </c>
      <c r="G5" s="17" t="s">
        <v>117</v>
      </c>
      <c r="H5" s="17">
        <v>17101</v>
      </c>
    </row>
    <row r="6" spans="1:8">
      <c r="A6" s="13" t="s">
        <v>78</v>
      </c>
      <c r="B6" s="17" t="s">
        <v>884</v>
      </c>
      <c r="C6" s="17" t="s">
        <v>885</v>
      </c>
      <c r="D6" s="17" t="s">
        <v>886</v>
      </c>
      <c r="E6" s="17" t="s">
        <v>164</v>
      </c>
      <c r="F6" s="17" t="s">
        <v>815</v>
      </c>
      <c r="G6" s="17" t="s">
        <v>245</v>
      </c>
      <c r="H6" s="17">
        <v>28202</v>
      </c>
    </row>
    <row r="7" spans="1:8">
      <c r="A7" s="13" t="s">
        <v>78</v>
      </c>
      <c r="B7" s="17" t="s">
        <v>887</v>
      </c>
      <c r="C7" s="17" t="s">
        <v>888</v>
      </c>
      <c r="D7" s="17" t="s">
        <v>889</v>
      </c>
      <c r="E7" s="17" t="s">
        <v>579</v>
      </c>
      <c r="F7" s="17" t="s">
        <v>270</v>
      </c>
      <c r="G7" s="17" t="s">
        <v>241</v>
      </c>
      <c r="H7" s="17">
        <v>25701</v>
      </c>
    </row>
    <row r="8" spans="1:8">
      <c r="A8" s="13" t="s">
        <v>78</v>
      </c>
      <c r="B8" s="17" t="s">
        <v>890</v>
      </c>
      <c r="C8" s="17" t="s">
        <v>891</v>
      </c>
      <c r="D8" s="17" t="s">
        <v>892</v>
      </c>
      <c r="E8" s="17" t="s">
        <v>539</v>
      </c>
      <c r="F8" s="17" t="s">
        <v>487</v>
      </c>
      <c r="G8" s="17" t="s">
        <v>310</v>
      </c>
      <c r="H8" s="17">
        <v>19711</v>
      </c>
    </row>
    <row r="9" spans="1:8">
      <c r="A9" s="13" t="s">
        <v>116</v>
      </c>
      <c r="B9" s="17" t="s">
        <v>893</v>
      </c>
      <c r="C9" s="17" t="s">
        <v>894</v>
      </c>
      <c r="D9" s="17" t="s">
        <v>895</v>
      </c>
      <c r="E9" s="17" t="s">
        <v>808</v>
      </c>
      <c r="F9" s="17" t="s">
        <v>759</v>
      </c>
      <c r="G9" s="17" t="s">
        <v>117</v>
      </c>
      <c r="H9" s="17">
        <v>15222</v>
      </c>
    </row>
    <row r="10" spans="1:8">
      <c r="A10" s="13" t="s">
        <v>116</v>
      </c>
      <c r="B10" s="17" t="s">
        <v>896</v>
      </c>
      <c r="C10" s="17" t="s">
        <v>897</v>
      </c>
      <c r="D10" s="17" t="s">
        <v>892</v>
      </c>
      <c r="E10" s="17" t="s">
        <v>292</v>
      </c>
      <c r="F10" s="17" t="s">
        <v>244</v>
      </c>
      <c r="G10" s="17" t="s">
        <v>245</v>
      </c>
      <c r="H10" s="17">
        <v>27401</v>
      </c>
    </row>
    <row r="11" spans="1:8">
      <c r="A11" s="13" t="s">
        <v>116</v>
      </c>
      <c r="B11" s="17" t="s">
        <v>890</v>
      </c>
      <c r="C11" s="17" t="s">
        <v>898</v>
      </c>
      <c r="D11" s="17" t="s">
        <v>779</v>
      </c>
      <c r="E11" s="17" t="s">
        <v>899</v>
      </c>
      <c r="F11" s="17" t="s">
        <v>900</v>
      </c>
      <c r="G11" s="17" t="s">
        <v>281</v>
      </c>
      <c r="H11" s="17">
        <v>23510</v>
      </c>
    </row>
    <row r="12" spans="1:8">
      <c r="A12" s="13" t="s">
        <v>116</v>
      </c>
      <c r="B12" s="17" t="s">
        <v>901</v>
      </c>
      <c r="C12" s="17" t="s">
        <v>902</v>
      </c>
      <c r="D12" s="17" t="s">
        <v>903</v>
      </c>
      <c r="E12" s="17" t="s">
        <v>140</v>
      </c>
      <c r="F12" s="17" t="s">
        <v>774</v>
      </c>
      <c r="G12" s="17" t="s">
        <v>79</v>
      </c>
      <c r="H12" s="17">
        <v>20850</v>
      </c>
    </row>
    <row r="13" spans="1:8">
      <c r="A13" s="13" t="s">
        <v>116</v>
      </c>
      <c r="B13" s="17" t="s">
        <v>893</v>
      </c>
      <c r="C13" s="17" t="s">
        <v>904</v>
      </c>
      <c r="D13" s="17" t="s">
        <v>905</v>
      </c>
      <c r="E13" s="17" t="s">
        <v>906</v>
      </c>
      <c r="F13" s="17" t="s">
        <v>443</v>
      </c>
      <c r="G13" s="17" t="s">
        <v>152</v>
      </c>
      <c r="H13" s="17">
        <v>20001</v>
      </c>
    </row>
    <row r="14" spans="1:8">
      <c r="A14" s="13" t="s">
        <v>116</v>
      </c>
      <c r="B14" s="17" t="s">
        <v>896</v>
      </c>
      <c r="C14" s="17" t="s">
        <v>894</v>
      </c>
      <c r="D14" s="17" t="s">
        <v>895</v>
      </c>
      <c r="E14" s="17" t="s">
        <v>808</v>
      </c>
      <c r="F14" s="17" t="s">
        <v>759</v>
      </c>
      <c r="G14" s="17" t="s">
        <v>117</v>
      </c>
      <c r="H14" s="17">
        <v>15222</v>
      </c>
    </row>
    <row r="15" spans="1:8">
      <c r="A15" s="13" t="s">
        <v>116</v>
      </c>
      <c r="B15" s="17" t="s">
        <v>907</v>
      </c>
      <c r="C15" s="17" t="s">
        <v>908</v>
      </c>
      <c r="D15" s="17" t="s">
        <v>909</v>
      </c>
      <c r="E15" s="17" t="s">
        <v>730</v>
      </c>
      <c r="F15" s="17" t="s">
        <v>244</v>
      </c>
      <c r="G15" s="17" t="s">
        <v>245</v>
      </c>
      <c r="H15" s="17">
        <v>27401</v>
      </c>
    </row>
    <row r="16" spans="1:8">
      <c r="A16" s="13" t="s">
        <v>151</v>
      </c>
      <c r="B16" s="17" t="s">
        <v>910</v>
      </c>
      <c r="C16" s="17" t="s">
        <v>911</v>
      </c>
      <c r="D16" s="17" t="s">
        <v>912</v>
      </c>
      <c r="E16" s="17" t="s">
        <v>583</v>
      </c>
      <c r="F16" s="17" t="s">
        <v>386</v>
      </c>
      <c r="G16" s="17" t="s">
        <v>241</v>
      </c>
      <c r="H16" s="17">
        <v>25301</v>
      </c>
    </row>
    <row r="17" spans="1:8">
      <c r="A17" s="13" t="s">
        <v>151</v>
      </c>
      <c r="B17" s="17" t="s">
        <v>913</v>
      </c>
      <c r="C17" s="17" t="s">
        <v>914</v>
      </c>
      <c r="D17" s="17" t="s">
        <v>915</v>
      </c>
      <c r="E17" s="17" t="s">
        <v>201</v>
      </c>
      <c r="F17" s="17" t="s">
        <v>717</v>
      </c>
      <c r="G17" s="17" t="s">
        <v>281</v>
      </c>
      <c r="H17" s="17">
        <v>22314</v>
      </c>
    </row>
    <row r="18" spans="1:8">
      <c r="A18" s="13" t="s">
        <v>151</v>
      </c>
      <c r="B18" s="17" t="s">
        <v>916</v>
      </c>
      <c r="C18" s="17" t="s">
        <v>917</v>
      </c>
      <c r="D18" s="17" t="s">
        <v>918</v>
      </c>
      <c r="E18" s="17" t="s">
        <v>919</v>
      </c>
      <c r="F18" s="17" t="s">
        <v>724</v>
      </c>
      <c r="G18" s="17" t="s">
        <v>79</v>
      </c>
      <c r="H18" s="17">
        <v>21202</v>
      </c>
    </row>
    <row r="19" spans="1:8">
      <c r="A19" s="13" t="s">
        <v>151</v>
      </c>
      <c r="B19" s="17" t="s">
        <v>871</v>
      </c>
      <c r="C19" s="17" t="s">
        <v>908</v>
      </c>
      <c r="D19" s="17" t="s">
        <v>909</v>
      </c>
      <c r="E19" s="17" t="s">
        <v>730</v>
      </c>
      <c r="F19" s="17" t="s">
        <v>443</v>
      </c>
      <c r="G19" s="17" t="s">
        <v>152</v>
      </c>
      <c r="H19" s="17">
        <v>20002</v>
      </c>
    </row>
    <row r="20" spans="1:8">
      <c r="A20" s="13" t="s">
        <v>151</v>
      </c>
      <c r="B20" s="17" t="s">
        <v>874</v>
      </c>
      <c r="C20" s="17" t="s">
        <v>911</v>
      </c>
      <c r="D20" s="17" t="s">
        <v>912</v>
      </c>
      <c r="E20" s="17" t="s">
        <v>583</v>
      </c>
      <c r="F20" s="17" t="s">
        <v>741</v>
      </c>
      <c r="G20" s="17" t="s">
        <v>117</v>
      </c>
      <c r="H20" s="17">
        <v>17101</v>
      </c>
    </row>
    <row r="21" spans="1:8">
      <c r="A21" s="13" t="s">
        <v>188</v>
      </c>
      <c r="B21" s="17" t="s">
        <v>878</v>
      </c>
      <c r="C21" s="17" t="s">
        <v>920</v>
      </c>
      <c r="D21" s="17" t="s">
        <v>921</v>
      </c>
      <c r="E21" s="17" t="s">
        <v>230</v>
      </c>
      <c r="F21" s="17" t="s">
        <v>815</v>
      </c>
      <c r="G21" s="17" t="s">
        <v>245</v>
      </c>
      <c r="H21" s="17">
        <v>28202</v>
      </c>
    </row>
    <row r="22" spans="1:8">
      <c r="A22" s="13" t="s">
        <v>188</v>
      </c>
      <c r="B22" s="17" t="s">
        <v>881</v>
      </c>
      <c r="C22" s="17" t="s">
        <v>898</v>
      </c>
      <c r="D22" s="17" t="s">
        <v>779</v>
      </c>
      <c r="E22" s="17" t="s">
        <v>899</v>
      </c>
      <c r="F22" s="17" t="s">
        <v>270</v>
      </c>
      <c r="G22" s="17" t="s">
        <v>241</v>
      </c>
      <c r="H22" s="17">
        <v>25701</v>
      </c>
    </row>
    <row r="23" spans="1:8">
      <c r="A23" s="13" t="s">
        <v>188</v>
      </c>
      <c r="B23" s="17" t="s">
        <v>884</v>
      </c>
      <c r="C23" s="17" t="s">
        <v>922</v>
      </c>
      <c r="D23" s="17" t="s">
        <v>923</v>
      </c>
      <c r="E23" s="17" t="s">
        <v>924</v>
      </c>
      <c r="F23" s="17" t="s">
        <v>487</v>
      </c>
      <c r="G23" s="17" t="s">
        <v>310</v>
      </c>
      <c r="H23" s="17">
        <v>19711</v>
      </c>
    </row>
    <row r="24" spans="1:8">
      <c r="A24" s="13" t="s">
        <v>217</v>
      </c>
      <c r="B24" s="17" t="s">
        <v>913</v>
      </c>
      <c r="C24" s="17" t="s">
        <v>925</v>
      </c>
      <c r="D24" s="17" t="s">
        <v>926</v>
      </c>
      <c r="E24" s="17" t="s">
        <v>570</v>
      </c>
      <c r="F24" s="17" t="s">
        <v>774</v>
      </c>
      <c r="G24" s="17" t="s">
        <v>79</v>
      </c>
      <c r="H24" s="17">
        <v>20850</v>
      </c>
    </row>
    <row r="25" spans="1:8">
      <c r="A25" s="13" t="s">
        <v>217</v>
      </c>
      <c r="B25" s="17" t="s">
        <v>916</v>
      </c>
      <c r="C25" s="17" t="s">
        <v>922</v>
      </c>
      <c r="D25" s="17" t="s">
        <v>923</v>
      </c>
      <c r="E25" s="17" t="s">
        <v>924</v>
      </c>
      <c r="F25" s="17" t="s">
        <v>443</v>
      </c>
      <c r="G25" s="17" t="s">
        <v>152</v>
      </c>
      <c r="H25" s="17">
        <v>20001</v>
      </c>
    </row>
    <row r="26" spans="1:8">
      <c r="A26" s="13" t="s">
        <v>217</v>
      </c>
      <c r="B26" s="17" t="s">
        <v>871</v>
      </c>
      <c r="C26" s="17" t="s">
        <v>914</v>
      </c>
      <c r="D26" s="17" t="s">
        <v>915</v>
      </c>
      <c r="E26" s="17" t="s">
        <v>201</v>
      </c>
      <c r="F26" s="17" t="s">
        <v>759</v>
      </c>
      <c r="G26" s="17" t="s">
        <v>117</v>
      </c>
      <c r="H26" s="17">
        <v>15222</v>
      </c>
    </row>
    <row r="27" spans="1:8">
      <c r="A27" s="13" t="s">
        <v>217</v>
      </c>
      <c r="B27" s="17" t="s">
        <v>874</v>
      </c>
      <c r="C27" s="17" t="s">
        <v>917</v>
      </c>
      <c r="D27" s="17" t="s">
        <v>918</v>
      </c>
      <c r="E27" s="17" t="s">
        <v>919</v>
      </c>
      <c r="F27" s="17" t="s">
        <v>244</v>
      </c>
      <c r="G27" s="17" t="s">
        <v>245</v>
      </c>
      <c r="H27" s="17">
        <v>27401</v>
      </c>
    </row>
    <row r="28" spans="1:8">
      <c r="A28" s="13" t="s">
        <v>217</v>
      </c>
      <c r="B28" s="17" t="s">
        <v>878</v>
      </c>
      <c r="C28" s="17" t="s">
        <v>927</v>
      </c>
      <c r="D28" s="17" t="s">
        <v>928</v>
      </c>
      <c r="E28" s="17" t="s">
        <v>877</v>
      </c>
      <c r="F28" s="17" t="s">
        <v>386</v>
      </c>
      <c r="G28" s="17" t="s">
        <v>241</v>
      </c>
      <c r="H28" s="17">
        <v>25301</v>
      </c>
    </row>
    <row r="29" spans="1:8">
      <c r="A29" s="13" t="s">
        <v>217</v>
      </c>
      <c r="B29" s="17" t="s">
        <v>881</v>
      </c>
      <c r="C29" s="17" t="s">
        <v>929</v>
      </c>
      <c r="D29" s="17" t="s">
        <v>930</v>
      </c>
      <c r="E29" s="17" t="s">
        <v>730</v>
      </c>
      <c r="F29" s="17" t="s">
        <v>768</v>
      </c>
      <c r="G29" s="17" t="s">
        <v>310</v>
      </c>
      <c r="H29" s="17">
        <v>19901</v>
      </c>
    </row>
    <row r="30" spans="1:8">
      <c r="A30" s="13" t="s">
        <v>251</v>
      </c>
      <c r="B30" s="17" t="s">
        <v>884</v>
      </c>
      <c r="C30" s="17" t="s">
        <v>931</v>
      </c>
      <c r="D30" s="17" t="s">
        <v>932</v>
      </c>
      <c r="E30" s="17" t="s">
        <v>97</v>
      </c>
      <c r="F30" s="17" t="s">
        <v>717</v>
      </c>
      <c r="G30" s="17" t="s">
        <v>281</v>
      </c>
      <c r="H30" s="17">
        <v>22314</v>
      </c>
    </row>
    <row r="31" spans="1:8">
      <c r="A31" s="13" t="s">
        <v>251</v>
      </c>
      <c r="B31" s="17" t="s">
        <v>887</v>
      </c>
      <c r="C31" s="17" t="s">
        <v>914</v>
      </c>
      <c r="D31" s="17" t="s">
        <v>915</v>
      </c>
      <c r="E31" s="17" t="s">
        <v>201</v>
      </c>
      <c r="F31" s="17" t="s">
        <v>724</v>
      </c>
      <c r="G31" s="17" t="s">
        <v>79</v>
      </c>
      <c r="H31" s="17">
        <v>21202</v>
      </c>
    </row>
    <row r="32" spans="1:8">
      <c r="A32" s="13" t="s">
        <v>251</v>
      </c>
      <c r="B32" s="17" t="s">
        <v>890</v>
      </c>
      <c r="C32" s="17" t="s">
        <v>933</v>
      </c>
      <c r="D32" s="17" t="s">
        <v>934</v>
      </c>
      <c r="E32" s="17" t="s">
        <v>762</v>
      </c>
      <c r="F32" s="17" t="s">
        <v>443</v>
      </c>
      <c r="G32" s="17" t="s">
        <v>152</v>
      </c>
      <c r="H32" s="17">
        <v>20002</v>
      </c>
    </row>
    <row r="33" spans="1:8">
      <c r="A33" s="13" t="s">
        <v>251</v>
      </c>
      <c r="B33" s="17" t="s">
        <v>901</v>
      </c>
      <c r="C33" s="17" t="s">
        <v>917</v>
      </c>
      <c r="D33" s="17" t="s">
        <v>918</v>
      </c>
      <c r="E33" s="17" t="s">
        <v>919</v>
      </c>
      <c r="F33" s="17" t="s">
        <v>741</v>
      </c>
      <c r="G33" s="17" t="s">
        <v>117</v>
      </c>
      <c r="H33" s="17">
        <v>17101</v>
      </c>
    </row>
    <row r="34" spans="1:8">
      <c r="A34" s="13" t="s">
        <v>280</v>
      </c>
      <c r="B34" s="17" t="s">
        <v>893</v>
      </c>
      <c r="C34" s="17" t="s">
        <v>927</v>
      </c>
      <c r="D34" s="17" t="s">
        <v>928</v>
      </c>
      <c r="E34" s="17" t="s">
        <v>877</v>
      </c>
      <c r="F34" s="17" t="s">
        <v>815</v>
      </c>
      <c r="G34" s="17" t="s">
        <v>245</v>
      </c>
      <c r="H34" s="17">
        <v>28202</v>
      </c>
    </row>
    <row r="35" spans="1:8">
      <c r="A35" s="13" t="s">
        <v>280</v>
      </c>
      <c r="B35" s="17" t="s">
        <v>896</v>
      </c>
      <c r="C35" s="17" t="s">
        <v>929</v>
      </c>
      <c r="D35" s="17" t="s">
        <v>930</v>
      </c>
      <c r="E35" s="17" t="s">
        <v>730</v>
      </c>
      <c r="F35" s="17" t="s">
        <v>270</v>
      </c>
      <c r="G35" s="17" t="s">
        <v>241</v>
      </c>
      <c r="H35" s="17">
        <v>25701</v>
      </c>
    </row>
    <row r="36" spans="1:8">
      <c r="A36" s="13" t="s">
        <v>280</v>
      </c>
      <c r="B36" s="17" t="s">
        <v>907</v>
      </c>
      <c r="C36" s="17" t="s">
        <v>935</v>
      </c>
      <c r="D36" s="17" t="s">
        <v>936</v>
      </c>
      <c r="E36" s="17" t="s">
        <v>716</v>
      </c>
      <c r="F36" s="17" t="s">
        <v>487</v>
      </c>
      <c r="G36" s="17" t="s">
        <v>310</v>
      </c>
      <c r="H36" s="17">
        <v>19711</v>
      </c>
    </row>
    <row r="37" spans="1:8">
      <c r="A37" s="13" t="s">
        <v>280</v>
      </c>
      <c r="B37" s="17" t="s">
        <v>910</v>
      </c>
      <c r="C37" s="17" t="s">
        <v>925</v>
      </c>
      <c r="D37" s="17" t="s">
        <v>926</v>
      </c>
      <c r="E37" s="17" t="s">
        <v>570</v>
      </c>
      <c r="F37" s="17" t="s">
        <v>350</v>
      </c>
      <c r="G37" s="17" t="s">
        <v>281</v>
      </c>
      <c r="H37" s="17">
        <v>23219</v>
      </c>
    </row>
    <row r="38" spans="1:8">
      <c r="A38" s="13" t="s">
        <v>280</v>
      </c>
      <c r="B38" s="17" t="s">
        <v>871</v>
      </c>
      <c r="C38" s="17" t="s">
        <v>937</v>
      </c>
      <c r="D38" s="17" t="s">
        <v>938</v>
      </c>
      <c r="E38" s="17" t="s">
        <v>939</v>
      </c>
      <c r="F38" s="17" t="s">
        <v>141</v>
      </c>
      <c r="G38" s="17" t="s">
        <v>117</v>
      </c>
      <c r="H38" s="17">
        <v>19107</v>
      </c>
    </row>
    <row r="39" spans="1:8">
      <c r="A39" s="13" t="s">
        <v>280</v>
      </c>
      <c r="B39" s="17" t="s">
        <v>874</v>
      </c>
      <c r="C39" s="17" t="s">
        <v>940</v>
      </c>
      <c r="D39" s="17" t="s">
        <v>941</v>
      </c>
      <c r="E39" s="17" t="s">
        <v>583</v>
      </c>
      <c r="F39" s="17" t="s">
        <v>750</v>
      </c>
      <c r="G39" s="17" t="s">
        <v>245</v>
      </c>
      <c r="H39" s="17">
        <v>27601</v>
      </c>
    </row>
    <row r="40" spans="1:8">
      <c r="A40" s="13" t="s">
        <v>309</v>
      </c>
      <c r="B40" s="17" t="s">
        <v>878</v>
      </c>
      <c r="C40" s="17" t="s">
        <v>942</v>
      </c>
      <c r="D40" s="17" t="s">
        <v>943</v>
      </c>
      <c r="E40" s="17" t="s">
        <v>379</v>
      </c>
      <c r="F40" s="17" t="s">
        <v>460</v>
      </c>
      <c r="G40" s="17" t="s">
        <v>241</v>
      </c>
      <c r="H40" s="17">
        <v>26505</v>
      </c>
    </row>
    <row r="41" spans="1:8">
      <c r="A41" s="13" t="s">
        <v>309</v>
      </c>
      <c r="B41" s="17" t="s">
        <v>871</v>
      </c>
      <c r="C41" s="17" t="s">
        <v>944</v>
      </c>
      <c r="D41" s="17" t="s">
        <v>889</v>
      </c>
      <c r="E41" s="17" t="s">
        <v>773</v>
      </c>
      <c r="F41" s="17" t="s">
        <v>815</v>
      </c>
      <c r="G41" s="17" t="s">
        <v>245</v>
      </c>
      <c r="H41" s="17">
        <v>28202</v>
      </c>
    </row>
    <row r="42" spans="1:8">
      <c r="A42" s="13" t="s">
        <v>339</v>
      </c>
      <c r="B42" s="17" t="s">
        <v>874</v>
      </c>
      <c r="C42" s="17" t="s">
        <v>937</v>
      </c>
      <c r="D42" s="17" t="s">
        <v>938</v>
      </c>
      <c r="E42" s="17" t="s">
        <v>939</v>
      </c>
      <c r="F42" s="17" t="s">
        <v>270</v>
      </c>
      <c r="G42" s="17" t="s">
        <v>241</v>
      </c>
      <c r="H42" s="17">
        <v>25701</v>
      </c>
    </row>
    <row r="43" spans="1:8">
      <c r="A43" s="13" t="s">
        <v>339</v>
      </c>
      <c r="B43" s="17" t="s">
        <v>878</v>
      </c>
      <c r="C43" s="17" t="s">
        <v>945</v>
      </c>
      <c r="D43" s="17" t="s">
        <v>946</v>
      </c>
      <c r="E43" s="17" t="s">
        <v>947</v>
      </c>
      <c r="F43" s="17" t="s">
        <v>487</v>
      </c>
      <c r="G43" s="17" t="s">
        <v>310</v>
      </c>
      <c r="H43" s="17">
        <v>19711</v>
      </c>
    </row>
    <row r="44" spans="1:8">
      <c r="A44" s="13" t="s">
        <v>339</v>
      </c>
      <c r="B44" s="17" t="s">
        <v>881</v>
      </c>
      <c r="C44" s="17" t="s">
        <v>948</v>
      </c>
      <c r="D44" s="17" t="s">
        <v>949</v>
      </c>
      <c r="E44" s="17" t="s">
        <v>950</v>
      </c>
      <c r="F44" s="17" t="s">
        <v>350</v>
      </c>
      <c r="G44" s="17" t="s">
        <v>281</v>
      </c>
      <c r="H44" s="17">
        <v>23219</v>
      </c>
    </row>
    <row r="45" spans="1:8">
      <c r="A45" s="13" t="s">
        <v>339</v>
      </c>
      <c r="B45" s="17" t="s">
        <v>884</v>
      </c>
      <c r="C45" s="17" t="s">
        <v>951</v>
      </c>
      <c r="D45" s="17" t="s">
        <v>952</v>
      </c>
      <c r="E45" s="17" t="s">
        <v>201</v>
      </c>
      <c r="F45" s="17" t="s">
        <v>816</v>
      </c>
      <c r="G45" s="17" t="s">
        <v>79</v>
      </c>
      <c r="H45" s="17">
        <v>21401</v>
      </c>
    </row>
    <row r="46" spans="1:8">
      <c r="A46" s="13" t="s">
        <v>339</v>
      </c>
      <c r="B46" s="17" t="s">
        <v>887</v>
      </c>
      <c r="C46" s="17" t="s">
        <v>953</v>
      </c>
      <c r="D46" s="17" t="s">
        <v>954</v>
      </c>
      <c r="E46" s="17" t="s">
        <v>597</v>
      </c>
      <c r="F46" s="17" t="s">
        <v>443</v>
      </c>
      <c r="G46" s="17" t="s">
        <v>152</v>
      </c>
      <c r="H46" s="17">
        <v>20009</v>
      </c>
    </row>
    <row r="47" spans="1:8">
      <c r="A47" s="13" t="s">
        <v>339</v>
      </c>
      <c r="B47" s="17" t="s">
        <v>878</v>
      </c>
      <c r="C47" s="17" t="s">
        <v>879</v>
      </c>
      <c r="D47" s="17" t="s">
        <v>880</v>
      </c>
      <c r="E47" s="17" t="s">
        <v>589</v>
      </c>
      <c r="F47" s="17" t="s">
        <v>717</v>
      </c>
      <c r="G47" s="17" t="s">
        <v>281</v>
      </c>
      <c r="H47" s="17">
        <v>22314</v>
      </c>
    </row>
    <row r="48" spans="1:8">
      <c r="A48" s="13" t="s">
        <v>369</v>
      </c>
      <c r="B48" s="17" t="s">
        <v>881</v>
      </c>
      <c r="C48" s="17" t="s">
        <v>951</v>
      </c>
      <c r="D48" s="17" t="s">
        <v>952</v>
      </c>
      <c r="E48" s="17" t="s">
        <v>201</v>
      </c>
      <c r="F48" s="17" t="s">
        <v>724</v>
      </c>
      <c r="G48" s="17" t="s">
        <v>79</v>
      </c>
      <c r="H48" s="17">
        <v>21202</v>
      </c>
    </row>
    <row r="49" spans="1:8">
      <c r="A49" s="13" t="s">
        <v>369</v>
      </c>
      <c r="B49" s="17" t="s">
        <v>884</v>
      </c>
      <c r="C49" s="17" t="s">
        <v>953</v>
      </c>
      <c r="D49" s="17" t="s">
        <v>954</v>
      </c>
      <c r="E49" s="17" t="s">
        <v>597</v>
      </c>
      <c r="F49" s="17" t="s">
        <v>443</v>
      </c>
      <c r="G49" s="17" t="s">
        <v>152</v>
      </c>
      <c r="H49" s="17">
        <v>20002</v>
      </c>
    </row>
    <row r="50" spans="1:8">
      <c r="A50" s="13" t="s">
        <v>369</v>
      </c>
      <c r="B50" s="17" t="s">
        <v>871</v>
      </c>
      <c r="C50" s="17" t="s">
        <v>955</v>
      </c>
      <c r="D50" s="17" t="s">
        <v>956</v>
      </c>
      <c r="E50" s="17" t="s">
        <v>957</v>
      </c>
      <c r="F50" s="17" t="s">
        <v>741</v>
      </c>
      <c r="G50" s="17" t="s">
        <v>117</v>
      </c>
      <c r="H50" s="17">
        <v>17101</v>
      </c>
    </row>
  </sheetData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S14"/>
  <sheetViews>
    <sheetView workbookViewId="0">
      <pane xSplit="1" topLeftCell="I1" activePane="topRight" state="frozen"/>
      <selection pane="topRight"/>
    </sheetView>
  </sheetViews>
  <sheetFormatPr defaultRowHeight="14.4"/>
  <cols>
    <col min="1" max="1" width="9.33203125" customWidth="1"/>
    <col min="2" max="5" width="42.109375" customWidth="1"/>
    <col min="6" max="6" width="22" customWidth="1"/>
    <col min="7" max="9" width="42.109375" customWidth="1"/>
    <col min="10" max="10" width="39" customWidth="1"/>
    <col min="11" max="14" width="42.109375" customWidth="1"/>
    <col min="15" max="15" width="34" customWidth="1"/>
    <col min="16" max="16" width="41" customWidth="1"/>
    <col min="17" max="17" width="19" customWidth="1"/>
    <col min="18" max="18" width="26" customWidth="1"/>
    <col min="19" max="19" width="29" customWidth="1"/>
    <col min="20" max="20" width="24" customWidth="1"/>
    <col min="21" max="21" width="30" customWidth="1"/>
    <col min="22" max="22" width="27" customWidth="1"/>
    <col min="23" max="23" width="36" customWidth="1"/>
    <col min="24" max="24" width="42" customWidth="1"/>
    <col min="25" max="25" width="37" customWidth="1"/>
    <col min="26" max="26" width="31" customWidth="1"/>
    <col min="27" max="27" width="42.109375" customWidth="1"/>
    <col min="28" max="28" width="42" customWidth="1"/>
    <col min="29" max="30" width="42.109375" customWidth="1"/>
    <col min="31" max="31" width="40.109375" customWidth="1"/>
    <col min="32" max="32" width="33.88671875" customWidth="1"/>
    <col min="33" max="33" width="42.109375" customWidth="1"/>
    <col min="34" max="34" width="31.44140625" customWidth="1"/>
    <col min="35" max="35" width="34.6640625" customWidth="1"/>
    <col min="36" max="36" width="20.44140625" customWidth="1"/>
    <col min="37" max="37" width="30" customWidth="1"/>
    <col min="38" max="38" width="19.6640625" customWidth="1"/>
    <col min="39" max="39" width="23.33203125" customWidth="1"/>
    <col min="40" max="40" width="25.33203125" customWidth="1"/>
    <col min="41" max="41" width="21.44140625" customWidth="1"/>
    <col min="42" max="43" width="29.33203125" customWidth="1"/>
    <col min="44" max="44" width="30.5546875" customWidth="1"/>
    <col min="45" max="45" width="9.33203125" customWidth="1"/>
  </cols>
  <sheetData>
    <row r="1" spans="1:45" ht="57.75" customHeight="1">
      <c r="A1" s="12" t="s">
        <v>0</v>
      </c>
      <c r="B1" s="47" t="s">
        <v>958</v>
      </c>
      <c r="C1" s="47" t="s">
        <v>959</v>
      </c>
      <c r="D1" s="47" t="s">
        <v>960</v>
      </c>
      <c r="E1" s="47" t="s">
        <v>961</v>
      </c>
      <c r="F1" s="47" t="s">
        <v>962</v>
      </c>
      <c r="G1" s="47" t="s">
        <v>963</v>
      </c>
      <c r="H1" s="47" t="s">
        <v>964</v>
      </c>
      <c r="I1" s="47" t="s">
        <v>965</v>
      </c>
      <c r="J1" s="47" t="s">
        <v>966</v>
      </c>
      <c r="K1" s="47" t="s">
        <v>967</v>
      </c>
      <c r="L1" s="47" t="s">
        <v>968</v>
      </c>
      <c r="M1" s="47" t="s">
        <v>969</v>
      </c>
      <c r="N1" s="47" t="s">
        <v>970</v>
      </c>
      <c r="O1" s="47" t="s">
        <v>971</v>
      </c>
      <c r="P1" s="47" t="s">
        <v>972</v>
      </c>
      <c r="Q1" s="47" t="s">
        <v>973</v>
      </c>
      <c r="R1" s="47" t="s">
        <v>974</v>
      </c>
      <c r="S1" s="47" t="s">
        <v>975</v>
      </c>
      <c r="T1" s="47" t="s">
        <v>976</v>
      </c>
      <c r="U1" s="48" t="s">
        <v>977</v>
      </c>
      <c r="V1" s="47" t="s">
        <v>978</v>
      </c>
      <c r="W1" s="47" t="s">
        <v>979</v>
      </c>
      <c r="X1" s="47" t="s">
        <v>980</v>
      </c>
      <c r="Y1" s="47" t="s">
        <v>981</v>
      </c>
      <c r="Z1" s="47" t="s">
        <v>982</v>
      </c>
      <c r="AA1" s="47" t="s">
        <v>983</v>
      </c>
      <c r="AB1" s="47" t="s">
        <v>984</v>
      </c>
      <c r="AC1" s="47" t="s">
        <v>985</v>
      </c>
      <c r="AD1" s="47" t="s">
        <v>986</v>
      </c>
      <c r="AE1" s="49" t="s">
        <v>987</v>
      </c>
      <c r="AF1" s="47" t="s">
        <v>988</v>
      </c>
      <c r="AG1" s="47" t="s">
        <v>989</v>
      </c>
      <c r="AH1" s="47" t="s">
        <v>990</v>
      </c>
      <c r="AI1" s="47" t="s">
        <v>991</v>
      </c>
      <c r="AJ1" s="47" t="s">
        <v>992</v>
      </c>
      <c r="AK1" s="47" t="s">
        <v>993</v>
      </c>
      <c r="AL1" s="47" t="s">
        <v>994</v>
      </c>
      <c r="AM1" s="47" t="s">
        <v>995</v>
      </c>
      <c r="AN1" s="47" t="s">
        <v>996</v>
      </c>
      <c r="AO1" s="47" t="s">
        <v>997</v>
      </c>
      <c r="AP1" s="47" t="s">
        <v>998</v>
      </c>
      <c r="AQ1" s="47" t="s">
        <v>999</v>
      </c>
      <c r="AR1" s="47" t="s">
        <v>1000</v>
      </c>
      <c r="AS1" s="47" t="s">
        <v>1001</v>
      </c>
    </row>
    <row r="2" spans="1:45">
      <c r="A2" s="12" t="s">
        <v>78</v>
      </c>
      <c r="B2" s="12" t="s">
        <v>81</v>
      </c>
      <c r="C2" s="12" t="s">
        <v>81</v>
      </c>
      <c r="D2" s="12"/>
      <c r="E2" s="12" t="s">
        <v>80</v>
      </c>
      <c r="F2" s="12" t="s">
        <v>1002</v>
      </c>
      <c r="G2" s="12"/>
      <c r="H2" s="12" t="s">
        <v>81</v>
      </c>
      <c r="I2" s="12" t="s">
        <v>80</v>
      </c>
      <c r="J2" s="12" t="s">
        <v>80</v>
      </c>
      <c r="K2" s="12" t="s">
        <v>80</v>
      </c>
      <c r="L2" s="12" t="s">
        <v>81</v>
      </c>
      <c r="M2" s="12" t="s">
        <v>81</v>
      </c>
      <c r="N2" s="12"/>
      <c r="O2" s="12" t="s">
        <v>80</v>
      </c>
      <c r="P2" s="12" t="s">
        <v>1003</v>
      </c>
      <c r="Q2" s="12" t="s">
        <v>1004</v>
      </c>
      <c r="R2" s="12" t="s">
        <v>1005</v>
      </c>
      <c r="S2" s="12" t="s">
        <v>1006</v>
      </c>
      <c r="T2" s="12" t="s">
        <v>1007</v>
      </c>
      <c r="U2" s="50" t="s">
        <v>1008</v>
      </c>
      <c r="V2" s="12" t="s">
        <v>80</v>
      </c>
      <c r="W2" s="12" t="s">
        <v>80</v>
      </c>
      <c r="X2" s="12"/>
      <c r="Y2" s="12"/>
      <c r="Z2" s="12" t="s">
        <v>81</v>
      </c>
      <c r="AA2" s="12" t="s">
        <v>81</v>
      </c>
      <c r="AB2" s="12" t="s">
        <v>80</v>
      </c>
      <c r="AC2" s="12" t="s">
        <v>1009</v>
      </c>
      <c r="AD2" s="12" t="s">
        <v>80</v>
      </c>
      <c r="AE2" s="17" t="s">
        <v>1010</v>
      </c>
      <c r="AF2" s="17" t="s">
        <v>80</v>
      </c>
      <c r="AG2" s="17" t="s">
        <v>80</v>
      </c>
      <c r="AH2" s="17" t="s">
        <v>1011</v>
      </c>
      <c r="AI2" s="17" t="s">
        <v>81</v>
      </c>
      <c r="AJ2" s="12"/>
      <c r="AK2" s="12" t="s">
        <v>101</v>
      </c>
      <c r="AL2" s="12" t="s">
        <v>108</v>
      </c>
      <c r="AM2" s="12" t="s">
        <v>1012</v>
      </c>
      <c r="AN2" s="17" t="s">
        <v>85</v>
      </c>
      <c r="AO2" s="17" t="s">
        <v>1013</v>
      </c>
      <c r="AP2" s="12" t="s">
        <v>1014</v>
      </c>
      <c r="AQ2" s="12" t="s">
        <v>1015</v>
      </c>
      <c r="AR2" s="17" t="s">
        <v>1016</v>
      </c>
      <c r="AS2" s="12" t="s">
        <v>81</v>
      </c>
    </row>
    <row r="3" spans="1:45">
      <c r="A3" s="12" t="s">
        <v>116</v>
      </c>
      <c r="B3" s="12" t="s">
        <v>81</v>
      </c>
      <c r="C3" s="12" t="s">
        <v>80</v>
      </c>
      <c r="D3" s="12" t="s">
        <v>1017</v>
      </c>
      <c r="E3" s="12" t="s">
        <v>80</v>
      </c>
      <c r="F3" s="12" t="s">
        <v>273</v>
      </c>
      <c r="G3" s="12" t="s">
        <v>1018</v>
      </c>
      <c r="H3" s="12" t="s">
        <v>80</v>
      </c>
      <c r="I3" s="12" t="s">
        <v>80</v>
      </c>
      <c r="J3" s="12" t="s">
        <v>81</v>
      </c>
      <c r="K3" s="12" t="s">
        <v>80</v>
      </c>
      <c r="L3" s="12" t="s">
        <v>81</v>
      </c>
      <c r="M3" s="12" t="s">
        <v>81</v>
      </c>
      <c r="N3" s="12"/>
      <c r="O3" s="12" t="s">
        <v>80</v>
      </c>
      <c r="P3" s="12" t="s">
        <v>1019</v>
      </c>
      <c r="Q3" s="12" t="s">
        <v>1020</v>
      </c>
      <c r="R3" s="12" t="s">
        <v>1021</v>
      </c>
      <c r="S3" s="12" t="s">
        <v>1022</v>
      </c>
      <c r="T3" s="12" t="s">
        <v>1023</v>
      </c>
      <c r="U3" s="50" t="s">
        <v>1024</v>
      </c>
      <c r="V3" s="12" t="s">
        <v>80</v>
      </c>
      <c r="W3" s="12" t="s">
        <v>80</v>
      </c>
      <c r="X3" s="12"/>
      <c r="Y3" s="12"/>
      <c r="Z3" s="12" t="s">
        <v>80</v>
      </c>
      <c r="AA3" s="12" t="s">
        <v>81</v>
      </c>
      <c r="AB3" s="12" t="s">
        <v>80</v>
      </c>
      <c r="AC3" s="12" t="s">
        <v>1025</v>
      </c>
      <c r="AD3" s="12" t="s">
        <v>81</v>
      </c>
      <c r="AE3" s="12"/>
      <c r="AF3" s="17" t="s">
        <v>80</v>
      </c>
      <c r="AG3" s="17" t="s">
        <v>80</v>
      </c>
      <c r="AH3" s="17" t="s">
        <v>1026</v>
      </c>
      <c r="AI3" s="17" t="s">
        <v>81</v>
      </c>
      <c r="AJ3" s="12"/>
      <c r="AK3" s="12" t="s">
        <v>136</v>
      </c>
      <c r="AL3" s="12" t="s">
        <v>143</v>
      </c>
      <c r="AM3" s="12" t="s">
        <v>1027</v>
      </c>
      <c r="AN3" s="17" t="s">
        <v>120</v>
      </c>
      <c r="AO3" s="17" t="s">
        <v>1028</v>
      </c>
      <c r="AP3" s="12" t="s">
        <v>1029</v>
      </c>
      <c r="AQ3" s="12" t="s">
        <v>1030</v>
      </c>
      <c r="AR3" s="17" t="s">
        <v>1031</v>
      </c>
      <c r="AS3" s="12" t="s">
        <v>81</v>
      </c>
    </row>
    <row r="4" spans="1:45">
      <c r="A4" s="12" t="s">
        <v>151</v>
      </c>
      <c r="B4" s="12" t="s">
        <v>81</v>
      </c>
      <c r="C4" s="12" t="s">
        <v>81</v>
      </c>
      <c r="D4" s="12"/>
      <c r="E4" s="12" t="s">
        <v>81</v>
      </c>
      <c r="F4" s="12"/>
      <c r="G4" s="12"/>
      <c r="H4" s="12"/>
      <c r="I4" s="12"/>
      <c r="J4" s="12" t="s">
        <v>80</v>
      </c>
      <c r="K4" s="12" t="s">
        <v>81</v>
      </c>
      <c r="L4" s="12" t="s">
        <v>81</v>
      </c>
      <c r="M4" s="12" t="s">
        <v>81</v>
      </c>
      <c r="N4" s="12"/>
      <c r="O4" s="12" t="s">
        <v>81</v>
      </c>
      <c r="P4" s="12"/>
      <c r="Q4" s="12"/>
      <c r="R4" s="12"/>
      <c r="S4" s="12"/>
      <c r="T4" s="12"/>
      <c r="U4" s="16"/>
      <c r="V4" s="12"/>
      <c r="W4" s="12"/>
      <c r="X4" s="12">
        <v>4</v>
      </c>
      <c r="Y4" s="12" t="s">
        <v>80</v>
      </c>
      <c r="Z4" s="12" t="s">
        <v>80</v>
      </c>
      <c r="AA4" s="12" t="s">
        <v>81</v>
      </c>
      <c r="AB4" s="12" t="s">
        <v>81</v>
      </c>
      <c r="AC4" s="12" t="s">
        <v>1032</v>
      </c>
      <c r="AD4" s="12" t="s">
        <v>80</v>
      </c>
      <c r="AE4" s="17" t="s">
        <v>1010</v>
      </c>
      <c r="AF4" s="17" t="s">
        <v>81</v>
      </c>
      <c r="AG4" s="17" t="s">
        <v>80</v>
      </c>
      <c r="AH4" s="17" t="s">
        <v>1011</v>
      </c>
      <c r="AI4" s="17" t="s">
        <v>81</v>
      </c>
      <c r="AJ4" s="12"/>
      <c r="AK4" s="12" t="s">
        <v>168</v>
      </c>
      <c r="AL4" s="12" t="s">
        <v>175</v>
      </c>
      <c r="AM4" s="12" t="s">
        <v>1033</v>
      </c>
      <c r="AN4" s="17" t="s">
        <v>120</v>
      </c>
      <c r="AO4" s="17" t="s">
        <v>1028</v>
      </c>
      <c r="AP4" s="12" t="s">
        <v>1034</v>
      </c>
      <c r="AQ4" s="12" t="s">
        <v>1035</v>
      </c>
      <c r="AR4" s="17" t="s">
        <v>1036</v>
      </c>
      <c r="AS4" s="12" t="s">
        <v>80</v>
      </c>
    </row>
    <row r="5" spans="1:45">
      <c r="A5" s="12" t="s">
        <v>151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6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7" t="s">
        <v>81</v>
      </c>
      <c r="AG5" s="17" t="s">
        <v>80</v>
      </c>
      <c r="AH5" s="17" t="s">
        <v>1037</v>
      </c>
      <c r="AI5" s="17" t="s">
        <v>81</v>
      </c>
      <c r="AJ5" s="12"/>
      <c r="AK5" s="12" t="s">
        <v>1038</v>
      </c>
      <c r="AL5" s="12" t="s">
        <v>1039</v>
      </c>
      <c r="AM5" s="12" t="s">
        <v>1040</v>
      </c>
      <c r="AN5" s="17" t="s">
        <v>1041</v>
      </c>
      <c r="AO5" s="17" t="s">
        <v>1042</v>
      </c>
      <c r="AP5" s="12" t="s">
        <v>1014</v>
      </c>
      <c r="AQ5" s="12" t="s">
        <v>1043</v>
      </c>
      <c r="AR5" s="17" t="s">
        <v>1016</v>
      </c>
      <c r="AS5" s="12" t="s">
        <v>81</v>
      </c>
    </row>
    <row r="6" spans="1:45">
      <c r="A6" s="12" t="s">
        <v>151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6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7" t="s">
        <v>81</v>
      </c>
      <c r="AG6" s="17" t="s">
        <v>80</v>
      </c>
      <c r="AH6" s="17" t="s">
        <v>1026</v>
      </c>
      <c r="AI6" s="17" t="s">
        <v>81</v>
      </c>
      <c r="AJ6" s="12"/>
      <c r="AK6" s="12" t="s">
        <v>1044</v>
      </c>
      <c r="AL6" s="12" t="s">
        <v>1045</v>
      </c>
      <c r="AM6" s="12" t="s">
        <v>1046</v>
      </c>
      <c r="AN6" s="17" t="s">
        <v>1047</v>
      </c>
      <c r="AO6" s="17" t="s">
        <v>1048</v>
      </c>
      <c r="AP6" s="12" t="s">
        <v>1049</v>
      </c>
      <c r="AQ6" s="12" t="s">
        <v>1050</v>
      </c>
      <c r="AR6" s="17" t="s">
        <v>1031</v>
      </c>
      <c r="AS6" s="12" t="s">
        <v>80</v>
      </c>
    </row>
    <row r="7" spans="1:45">
      <c r="A7" s="12" t="s">
        <v>151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6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7" t="s">
        <v>80</v>
      </c>
      <c r="AG7" s="17" t="s">
        <v>80</v>
      </c>
      <c r="AH7" s="17" t="s">
        <v>1011</v>
      </c>
      <c r="AI7" s="17" t="s">
        <v>81</v>
      </c>
      <c r="AJ7" s="12"/>
      <c r="AK7" s="12" t="s">
        <v>1051</v>
      </c>
      <c r="AL7" s="12" t="s">
        <v>1052</v>
      </c>
      <c r="AM7" s="12" t="s">
        <v>1053</v>
      </c>
      <c r="AN7" s="17" t="s">
        <v>1054</v>
      </c>
      <c r="AO7" s="17" t="s">
        <v>1055</v>
      </c>
      <c r="AP7" s="12" t="s">
        <v>1056</v>
      </c>
      <c r="AQ7" s="12" t="s">
        <v>1057</v>
      </c>
      <c r="AR7" s="17" t="s">
        <v>1036</v>
      </c>
      <c r="AS7" s="12" t="s">
        <v>81</v>
      </c>
    </row>
    <row r="8" spans="1:45">
      <c r="A8" s="12" t="s">
        <v>188</v>
      </c>
      <c r="B8" s="12" t="s">
        <v>81</v>
      </c>
      <c r="C8" s="12" t="s">
        <v>80</v>
      </c>
      <c r="D8" s="12" t="s">
        <v>1058</v>
      </c>
      <c r="E8" s="12" t="s">
        <v>80</v>
      </c>
      <c r="F8" s="12" t="s">
        <v>1002</v>
      </c>
      <c r="G8" s="12"/>
      <c r="H8" s="12" t="s">
        <v>81</v>
      </c>
      <c r="I8" s="12" t="s">
        <v>80</v>
      </c>
      <c r="J8" s="12" t="s">
        <v>81</v>
      </c>
      <c r="K8" s="12" t="s">
        <v>80</v>
      </c>
      <c r="L8" s="12" t="s">
        <v>81</v>
      </c>
      <c r="M8" s="12" t="s">
        <v>81</v>
      </c>
      <c r="N8" s="12"/>
      <c r="O8" s="12" t="s">
        <v>80</v>
      </c>
      <c r="P8" s="12" t="s">
        <v>1059</v>
      </c>
      <c r="Q8" s="12" t="s">
        <v>1060</v>
      </c>
      <c r="R8" s="12" t="s">
        <v>1061</v>
      </c>
      <c r="S8" s="12" t="s">
        <v>1062</v>
      </c>
      <c r="T8" s="12" t="s">
        <v>1063</v>
      </c>
      <c r="U8" s="50" t="s">
        <v>1064</v>
      </c>
      <c r="V8" s="12" t="s">
        <v>80</v>
      </c>
      <c r="W8" s="12" t="s">
        <v>80</v>
      </c>
      <c r="X8" s="12"/>
      <c r="Y8" s="12"/>
      <c r="Z8" s="12" t="s">
        <v>81</v>
      </c>
      <c r="AA8" s="12" t="s">
        <v>80</v>
      </c>
      <c r="AB8" s="12" t="s">
        <v>80</v>
      </c>
      <c r="AC8" s="12" t="s">
        <v>1065</v>
      </c>
      <c r="AD8" s="12" t="s">
        <v>81</v>
      </c>
      <c r="AE8" s="12"/>
      <c r="AF8" s="17" t="s">
        <v>81</v>
      </c>
      <c r="AG8" s="17" t="s">
        <v>80</v>
      </c>
      <c r="AH8" s="17" t="s">
        <v>1011</v>
      </c>
      <c r="AI8" s="17" t="s">
        <v>81</v>
      </c>
      <c r="AJ8" s="12"/>
      <c r="AK8" s="12" t="s">
        <v>205</v>
      </c>
      <c r="AL8" s="12" t="s">
        <v>210</v>
      </c>
      <c r="AM8" s="12" t="s">
        <v>1066</v>
      </c>
      <c r="AN8" s="17" t="s">
        <v>190</v>
      </c>
      <c r="AO8" s="17" t="s">
        <v>1067</v>
      </c>
      <c r="AP8" s="12" t="s">
        <v>1056</v>
      </c>
      <c r="AQ8" s="12" t="s">
        <v>1068</v>
      </c>
      <c r="AR8" s="17" t="s">
        <v>1016</v>
      </c>
      <c r="AS8" s="12" t="s">
        <v>81</v>
      </c>
    </row>
    <row r="9" spans="1:45">
      <c r="A9" s="12" t="s">
        <v>217</v>
      </c>
      <c r="B9" s="12" t="s">
        <v>81</v>
      </c>
      <c r="C9" s="12" t="s">
        <v>81</v>
      </c>
      <c r="D9" s="12"/>
      <c r="E9" s="12" t="s">
        <v>80</v>
      </c>
      <c r="F9" s="12" t="s">
        <v>273</v>
      </c>
      <c r="G9" s="12" t="s">
        <v>1069</v>
      </c>
      <c r="H9" s="12" t="s">
        <v>81</v>
      </c>
      <c r="I9" s="12" t="s">
        <v>80</v>
      </c>
      <c r="J9" s="12" t="s">
        <v>80</v>
      </c>
      <c r="K9" s="12" t="s">
        <v>80</v>
      </c>
      <c r="L9" s="12" t="s">
        <v>81</v>
      </c>
      <c r="M9" s="12" t="s">
        <v>81</v>
      </c>
      <c r="N9" s="12"/>
      <c r="O9" s="12" t="s">
        <v>80</v>
      </c>
      <c r="P9" s="12" t="s">
        <v>1070</v>
      </c>
      <c r="Q9" s="12" t="s">
        <v>1071</v>
      </c>
      <c r="R9" s="12" t="s">
        <v>1072</v>
      </c>
      <c r="S9" s="12" t="s">
        <v>1022</v>
      </c>
      <c r="T9" s="12" t="s">
        <v>1023</v>
      </c>
      <c r="U9" s="50" t="s">
        <v>1073</v>
      </c>
      <c r="V9" s="12" t="s">
        <v>80</v>
      </c>
      <c r="W9" s="12" t="s">
        <v>80</v>
      </c>
      <c r="X9" s="12"/>
      <c r="Y9" s="12"/>
      <c r="Z9" s="12" t="s">
        <v>81</v>
      </c>
      <c r="AA9" s="12" t="s">
        <v>81</v>
      </c>
      <c r="AB9" s="12" t="s">
        <v>80</v>
      </c>
      <c r="AC9" s="12" t="s">
        <v>1074</v>
      </c>
      <c r="AD9" s="12" t="s">
        <v>81</v>
      </c>
      <c r="AE9" s="12"/>
      <c r="AF9" s="17" t="s">
        <v>80</v>
      </c>
      <c r="AG9" s="17" t="s">
        <v>80</v>
      </c>
      <c r="AH9" s="17" t="s">
        <v>1037</v>
      </c>
      <c r="AI9" s="17" t="s">
        <v>81</v>
      </c>
      <c r="AJ9" s="12"/>
      <c r="AK9" s="12" t="s">
        <v>234</v>
      </c>
      <c r="AL9" s="12" t="s">
        <v>247</v>
      </c>
      <c r="AM9" s="12" t="s">
        <v>1075</v>
      </c>
      <c r="AN9" s="17" t="s">
        <v>220</v>
      </c>
      <c r="AO9" s="17" t="s">
        <v>1076</v>
      </c>
      <c r="AP9" s="12" t="s">
        <v>1056</v>
      </c>
      <c r="AQ9" s="12" t="s">
        <v>1077</v>
      </c>
      <c r="AR9" s="17" t="s">
        <v>1031</v>
      </c>
      <c r="AS9" s="12" t="s">
        <v>81</v>
      </c>
    </row>
    <row r="10" spans="1:45">
      <c r="A10" s="12" t="s">
        <v>251</v>
      </c>
      <c r="B10" s="12" t="s">
        <v>81</v>
      </c>
      <c r="C10" s="12" t="s">
        <v>81</v>
      </c>
      <c r="D10" s="12"/>
      <c r="E10" s="12" t="s">
        <v>81</v>
      </c>
      <c r="F10" s="12"/>
      <c r="G10" s="12"/>
      <c r="H10" s="12"/>
      <c r="I10" s="12"/>
      <c r="J10" s="12" t="s">
        <v>81</v>
      </c>
      <c r="K10" s="12" t="s">
        <v>80</v>
      </c>
      <c r="L10" s="12" t="s">
        <v>81</v>
      </c>
      <c r="M10" s="12" t="s">
        <v>81</v>
      </c>
      <c r="N10" s="12"/>
      <c r="O10" s="12" t="s">
        <v>80</v>
      </c>
      <c r="P10" s="12" t="s">
        <v>1078</v>
      </c>
      <c r="Q10" s="12" t="s">
        <v>1004</v>
      </c>
      <c r="R10" s="12" t="s">
        <v>1079</v>
      </c>
      <c r="S10" s="12" t="s">
        <v>1006</v>
      </c>
      <c r="T10" s="12" t="s">
        <v>1080</v>
      </c>
      <c r="U10" s="50" t="s">
        <v>1081</v>
      </c>
      <c r="V10" s="12" t="s">
        <v>80</v>
      </c>
      <c r="W10" s="12" t="s">
        <v>80</v>
      </c>
      <c r="X10" s="12"/>
      <c r="Y10" s="12"/>
      <c r="Z10" s="12" t="s">
        <v>81</v>
      </c>
      <c r="AA10" s="12" t="s">
        <v>81</v>
      </c>
      <c r="AB10" s="12" t="s">
        <v>80</v>
      </c>
      <c r="AC10" s="12" t="s">
        <v>1082</v>
      </c>
      <c r="AD10" s="12" t="s">
        <v>80</v>
      </c>
      <c r="AE10" s="17" t="s">
        <v>1083</v>
      </c>
      <c r="AF10" s="17" t="s">
        <v>80</v>
      </c>
      <c r="AG10" s="17" t="s">
        <v>80</v>
      </c>
      <c r="AH10" s="17" t="s">
        <v>1011</v>
      </c>
      <c r="AI10" s="17" t="s">
        <v>81</v>
      </c>
      <c r="AJ10" s="12"/>
      <c r="AK10" s="12" t="s">
        <v>266</v>
      </c>
      <c r="AL10" s="12" t="s">
        <v>272</v>
      </c>
      <c r="AM10" s="12" t="s">
        <v>1084</v>
      </c>
      <c r="AN10" s="17" t="s">
        <v>253</v>
      </c>
      <c r="AO10" s="17" t="s">
        <v>1085</v>
      </c>
      <c r="AP10" s="12" t="s">
        <v>1086</v>
      </c>
      <c r="AQ10" s="12" t="s">
        <v>1087</v>
      </c>
      <c r="AR10" s="17" t="s">
        <v>1036</v>
      </c>
      <c r="AS10" s="12" t="s">
        <v>81</v>
      </c>
    </row>
    <row r="11" spans="1:45">
      <c r="A11" s="12" t="s">
        <v>280</v>
      </c>
      <c r="B11" s="12" t="s">
        <v>81</v>
      </c>
      <c r="C11" s="12" t="s">
        <v>80</v>
      </c>
      <c r="D11" s="12" t="s">
        <v>1088</v>
      </c>
      <c r="E11" s="12" t="s">
        <v>80</v>
      </c>
      <c r="F11" s="12" t="s">
        <v>1002</v>
      </c>
      <c r="G11" s="12"/>
      <c r="H11" s="12" t="s">
        <v>80</v>
      </c>
      <c r="I11" s="12" t="s">
        <v>80</v>
      </c>
      <c r="J11" s="12" t="s">
        <v>81</v>
      </c>
      <c r="K11" s="12" t="s">
        <v>80</v>
      </c>
      <c r="L11" s="12" t="s">
        <v>80</v>
      </c>
      <c r="M11" s="12" t="s">
        <v>81</v>
      </c>
      <c r="N11" s="12"/>
      <c r="O11" s="12" t="s">
        <v>80</v>
      </c>
      <c r="P11" s="12" t="s">
        <v>1089</v>
      </c>
      <c r="Q11" s="12" t="s">
        <v>1020</v>
      </c>
      <c r="R11" s="12" t="s">
        <v>1090</v>
      </c>
      <c r="S11" s="12" t="s">
        <v>1062</v>
      </c>
      <c r="T11" s="12" t="s">
        <v>1091</v>
      </c>
      <c r="U11" s="50" t="s">
        <v>1092</v>
      </c>
      <c r="V11" s="12" t="s">
        <v>80</v>
      </c>
      <c r="W11" s="12" t="s">
        <v>80</v>
      </c>
      <c r="X11" s="12"/>
      <c r="Y11" s="12"/>
      <c r="Z11" s="12" t="s">
        <v>80</v>
      </c>
      <c r="AA11" s="12" t="s">
        <v>80</v>
      </c>
      <c r="AB11" s="12" t="s">
        <v>81</v>
      </c>
      <c r="AC11" s="12" t="s">
        <v>1093</v>
      </c>
      <c r="AD11" s="12" t="s">
        <v>81</v>
      </c>
      <c r="AE11" s="17"/>
      <c r="AF11" s="17" t="s">
        <v>81</v>
      </c>
      <c r="AG11" s="17" t="s">
        <v>80</v>
      </c>
      <c r="AH11" s="17" t="s">
        <v>1011</v>
      </c>
      <c r="AI11" s="17" t="s">
        <v>81</v>
      </c>
      <c r="AJ11" s="12"/>
      <c r="AK11" s="12" t="s">
        <v>1094</v>
      </c>
      <c r="AL11" s="12" t="s">
        <v>1095</v>
      </c>
      <c r="AM11" s="12" t="s">
        <v>1096</v>
      </c>
      <c r="AN11" s="17" t="s">
        <v>1097</v>
      </c>
      <c r="AO11" s="17" t="s">
        <v>1098</v>
      </c>
      <c r="AP11" s="12" t="s">
        <v>1049</v>
      </c>
      <c r="AQ11" s="12" t="s">
        <v>1099</v>
      </c>
      <c r="AR11" s="17" t="s">
        <v>1016</v>
      </c>
      <c r="AS11" s="12" t="s">
        <v>80</v>
      </c>
    </row>
    <row r="12" spans="1:45">
      <c r="A12" s="12" t="s">
        <v>309</v>
      </c>
      <c r="B12" s="12" t="s">
        <v>81</v>
      </c>
      <c r="C12" s="12" t="s">
        <v>81</v>
      </c>
      <c r="D12" s="12"/>
      <c r="E12" s="12" t="s">
        <v>81</v>
      </c>
      <c r="F12" s="12"/>
      <c r="G12" s="12"/>
      <c r="H12" s="12"/>
      <c r="I12" s="12"/>
      <c r="J12" s="12" t="s">
        <v>80</v>
      </c>
      <c r="K12" s="12" t="s">
        <v>81</v>
      </c>
      <c r="L12" s="12" t="s">
        <v>81</v>
      </c>
      <c r="M12" s="12" t="s">
        <v>81</v>
      </c>
      <c r="N12" s="12"/>
      <c r="O12" s="12" t="s">
        <v>81</v>
      </c>
      <c r="P12" s="12"/>
      <c r="Q12" s="12"/>
      <c r="R12" s="12"/>
      <c r="S12" s="12"/>
      <c r="T12" s="12"/>
      <c r="U12" s="16"/>
      <c r="V12" s="12"/>
      <c r="W12" s="12"/>
      <c r="X12" s="12">
        <v>3</v>
      </c>
      <c r="Y12" s="12" t="s">
        <v>81</v>
      </c>
      <c r="Z12" s="12" t="s">
        <v>80</v>
      </c>
      <c r="AA12" s="12" t="s">
        <v>81</v>
      </c>
      <c r="AB12" s="12" t="s">
        <v>80</v>
      </c>
      <c r="AC12" s="12" t="s">
        <v>1100</v>
      </c>
      <c r="AD12" s="12" t="s">
        <v>81</v>
      </c>
      <c r="AE12" s="17"/>
      <c r="AF12" s="17" t="s">
        <v>80</v>
      </c>
      <c r="AG12" s="17" t="s">
        <v>80</v>
      </c>
      <c r="AH12" s="17" t="s">
        <v>1037</v>
      </c>
      <c r="AI12" s="17" t="s">
        <v>81</v>
      </c>
      <c r="AJ12" s="12"/>
      <c r="AK12" s="12" t="s">
        <v>1101</v>
      </c>
      <c r="AL12" s="12" t="s">
        <v>1102</v>
      </c>
      <c r="AM12" s="12" t="s">
        <v>1103</v>
      </c>
      <c r="AN12" s="17" t="s">
        <v>1104</v>
      </c>
      <c r="AO12" s="17" t="s">
        <v>1105</v>
      </c>
      <c r="AP12" s="12" t="s">
        <v>1029</v>
      </c>
      <c r="AQ12" s="12" t="s">
        <v>1106</v>
      </c>
      <c r="AR12" s="17" t="s">
        <v>1031</v>
      </c>
      <c r="AS12" s="12" t="s">
        <v>81</v>
      </c>
    </row>
    <row r="13" spans="1:45">
      <c r="A13" s="12" t="s">
        <v>339</v>
      </c>
      <c r="B13" s="12" t="s">
        <v>81</v>
      </c>
      <c r="C13" s="12" t="s">
        <v>81</v>
      </c>
      <c r="D13" s="12"/>
      <c r="E13" s="12" t="s">
        <v>80</v>
      </c>
      <c r="F13" s="12" t="s">
        <v>273</v>
      </c>
      <c r="G13" s="12" t="s">
        <v>1107</v>
      </c>
      <c r="H13" s="12" t="s">
        <v>81</v>
      </c>
      <c r="I13" s="12" t="s">
        <v>80</v>
      </c>
      <c r="J13" s="12" t="s">
        <v>81</v>
      </c>
      <c r="K13" s="12" t="s">
        <v>80</v>
      </c>
      <c r="L13" s="12" t="s">
        <v>81</v>
      </c>
      <c r="M13" s="12" t="s">
        <v>81</v>
      </c>
      <c r="N13" s="12"/>
      <c r="O13" s="12" t="s">
        <v>80</v>
      </c>
      <c r="P13" s="12" t="s">
        <v>1108</v>
      </c>
      <c r="Q13" s="12" t="s">
        <v>1060</v>
      </c>
      <c r="R13" s="12" t="s">
        <v>1109</v>
      </c>
      <c r="S13" s="12" t="s">
        <v>1022</v>
      </c>
      <c r="T13" s="12" t="s">
        <v>1007</v>
      </c>
      <c r="U13" s="50" t="s">
        <v>1064</v>
      </c>
      <c r="V13" s="12" t="s">
        <v>80</v>
      </c>
      <c r="W13" s="12" t="s">
        <v>80</v>
      </c>
      <c r="X13" s="12"/>
      <c r="Y13" s="12"/>
      <c r="Z13" s="12" t="s">
        <v>81</v>
      </c>
      <c r="AA13" s="12" t="s">
        <v>81</v>
      </c>
      <c r="AB13" s="12" t="s">
        <v>80</v>
      </c>
      <c r="AC13" s="12" t="s">
        <v>1110</v>
      </c>
      <c r="AD13" s="12" t="s">
        <v>80</v>
      </c>
      <c r="AE13" s="17" t="s">
        <v>1111</v>
      </c>
      <c r="AF13" s="17" t="s">
        <v>80</v>
      </c>
      <c r="AG13" s="17" t="s">
        <v>80</v>
      </c>
      <c r="AH13" s="17" t="s">
        <v>1026</v>
      </c>
      <c r="AI13" s="17" t="s">
        <v>80</v>
      </c>
      <c r="AJ13" s="12" t="s">
        <v>80</v>
      </c>
      <c r="AK13" s="12" t="s">
        <v>1112</v>
      </c>
      <c r="AL13" s="12" t="s">
        <v>1113</v>
      </c>
      <c r="AM13" s="12" t="s">
        <v>1114</v>
      </c>
      <c r="AN13" s="17" t="s">
        <v>1115</v>
      </c>
      <c r="AO13" s="17" t="s">
        <v>1116</v>
      </c>
      <c r="AP13" s="12" t="s">
        <v>1034</v>
      </c>
      <c r="AQ13" s="12" t="s">
        <v>1117</v>
      </c>
      <c r="AR13" s="17" t="s">
        <v>1036</v>
      </c>
      <c r="AS13" s="12" t="s">
        <v>81</v>
      </c>
    </row>
    <row r="14" spans="1:45">
      <c r="A14" s="12" t="s">
        <v>369</v>
      </c>
      <c r="B14" s="12" t="s">
        <v>81</v>
      </c>
      <c r="C14" s="12" t="s">
        <v>80</v>
      </c>
      <c r="D14" s="12" t="s">
        <v>1118</v>
      </c>
      <c r="E14" s="12" t="s">
        <v>80</v>
      </c>
      <c r="F14" s="12" t="s">
        <v>1002</v>
      </c>
      <c r="G14" s="12"/>
      <c r="H14" s="12" t="s">
        <v>81</v>
      </c>
      <c r="I14" s="12" t="s">
        <v>80</v>
      </c>
      <c r="J14" s="12" t="s">
        <v>80</v>
      </c>
      <c r="K14" s="12" t="s">
        <v>80</v>
      </c>
      <c r="L14" s="12" t="s">
        <v>81</v>
      </c>
      <c r="M14" s="12" t="s">
        <v>80</v>
      </c>
      <c r="N14" s="17" t="s">
        <v>1119</v>
      </c>
      <c r="O14" s="12" t="s">
        <v>80</v>
      </c>
      <c r="P14" s="12" t="s">
        <v>1120</v>
      </c>
      <c r="Q14" s="12" t="s">
        <v>1071</v>
      </c>
      <c r="R14" s="12" t="s">
        <v>1121</v>
      </c>
      <c r="S14" s="12" t="s">
        <v>1062</v>
      </c>
      <c r="T14" s="12" t="s">
        <v>1063</v>
      </c>
      <c r="U14" s="50" t="s">
        <v>1122</v>
      </c>
      <c r="V14" s="12" t="s">
        <v>80</v>
      </c>
      <c r="W14" s="12" t="s">
        <v>80</v>
      </c>
      <c r="X14" s="12"/>
      <c r="Y14" s="12"/>
      <c r="Z14" s="12" t="s">
        <v>81</v>
      </c>
      <c r="AA14" s="12" t="s">
        <v>80</v>
      </c>
      <c r="AB14" s="12" t="s">
        <v>80</v>
      </c>
      <c r="AC14" s="12" t="s">
        <v>1123</v>
      </c>
      <c r="AD14" s="12" t="s">
        <v>80</v>
      </c>
      <c r="AE14" s="17" t="s">
        <v>1010</v>
      </c>
      <c r="AF14" s="17" t="s">
        <v>81</v>
      </c>
      <c r="AG14" s="17" t="s">
        <v>80</v>
      </c>
      <c r="AH14" s="17" t="s">
        <v>1026</v>
      </c>
      <c r="AI14" s="17" t="s">
        <v>81</v>
      </c>
      <c r="AJ14" s="12"/>
      <c r="AK14" s="12" t="s">
        <v>1038</v>
      </c>
      <c r="AL14" s="12" t="s">
        <v>1039</v>
      </c>
      <c r="AM14" s="12" t="s">
        <v>1040</v>
      </c>
      <c r="AN14" s="17" t="s">
        <v>1041</v>
      </c>
      <c r="AO14" s="17" t="s">
        <v>1042</v>
      </c>
      <c r="AP14" s="12" t="s">
        <v>1014</v>
      </c>
      <c r="AQ14" s="12" t="s">
        <v>1043</v>
      </c>
      <c r="AR14" s="17" t="s">
        <v>1016</v>
      </c>
      <c r="AS14" s="12" t="s">
        <v>81</v>
      </c>
    </row>
  </sheetData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59"/>
  <sheetViews>
    <sheetView workbookViewId="0">
      <selection activeCell="A3" sqref="A3:XFD11"/>
    </sheetView>
  </sheetViews>
  <sheetFormatPr defaultRowHeight="14.4"/>
  <cols>
    <col min="1" max="1" width="9.33203125" customWidth="1"/>
    <col min="2" max="3" width="18.6640625" customWidth="1"/>
    <col min="4" max="4" width="18" customWidth="1"/>
    <col min="5" max="5" width="15" customWidth="1"/>
    <col min="6" max="6" width="16" customWidth="1"/>
    <col min="7" max="7" width="15" customWidth="1"/>
    <col min="8" max="8" width="21" customWidth="1"/>
    <col min="9" max="9" width="14" customWidth="1"/>
    <col min="10" max="10" width="16" customWidth="1"/>
    <col min="11" max="11" width="26" customWidth="1"/>
    <col min="12" max="13" width="24" customWidth="1"/>
    <col min="14" max="14" width="26" customWidth="1"/>
    <col min="15" max="15" width="42.109375" customWidth="1"/>
    <col min="16" max="16" width="34.44140625" customWidth="1"/>
    <col min="17" max="17" width="31" customWidth="1"/>
    <col min="18" max="24" width="13.5546875" customWidth="1"/>
  </cols>
  <sheetData>
    <row r="1" spans="1:17">
      <c r="A1" s="12" t="s">
        <v>0</v>
      </c>
      <c r="B1" s="12" t="s">
        <v>1124</v>
      </c>
      <c r="C1" s="12" t="s">
        <v>1125</v>
      </c>
      <c r="D1" s="12" t="s">
        <v>1126</v>
      </c>
      <c r="E1" s="12" t="s">
        <v>1127</v>
      </c>
      <c r="F1" s="12" t="s">
        <v>1128</v>
      </c>
      <c r="G1" s="12" t="s">
        <v>1129</v>
      </c>
      <c r="H1" s="12" t="s">
        <v>857</v>
      </c>
      <c r="I1" s="12" t="s">
        <v>1130</v>
      </c>
      <c r="J1" s="12" t="s">
        <v>712</v>
      </c>
      <c r="K1" s="12" t="s">
        <v>1131</v>
      </c>
      <c r="L1" s="12" t="s">
        <v>1132</v>
      </c>
      <c r="M1" s="12" t="s">
        <v>1133</v>
      </c>
      <c r="N1" s="12" t="s">
        <v>1134</v>
      </c>
      <c r="O1" s="47" t="s">
        <v>409</v>
      </c>
      <c r="P1" s="12" t="s">
        <v>1135</v>
      </c>
      <c r="Q1" s="12" t="s">
        <v>1136</v>
      </c>
    </row>
    <row r="2" spans="1:17">
      <c r="A2" s="12" t="s">
        <v>78</v>
      </c>
      <c r="B2" s="12" t="s">
        <v>1137</v>
      </c>
      <c r="C2" s="12">
        <v>1</v>
      </c>
      <c r="D2" s="12" t="s">
        <v>1138</v>
      </c>
      <c r="E2" s="17" t="s">
        <v>1139</v>
      </c>
      <c r="F2" s="12" t="s">
        <v>1140</v>
      </c>
      <c r="G2" s="13" t="s">
        <v>117</v>
      </c>
      <c r="H2" s="12">
        <v>18</v>
      </c>
      <c r="I2" s="17" t="s">
        <v>1141</v>
      </c>
      <c r="J2" s="12" t="s">
        <v>1142</v>
      </c>
      <c r="K2" s="12" t="s">
        <v>80</v>
      </c>
      <c r="L2" s="12">
        <v>0</v>
      </c>
      <c r="M2" s="12">
        <v>1</v>
      </c>
      <c r="N2" s="12">
        <v>0</v>
      </c>
      <c r="O2" s="12" t="s">
        <v>1143</v>
      </c>
      <c r="P2" s="17" t="s">
        <v>1144</v>
      </c>
      <c r="Q2" s="17" t="s">
        <v>1145</v>
      </c>
    </row>
    <row r="3" spans="1:17">
      <c r="A3" s="12" t="s">
        <v>116</v>
      </c>
      <c r="B3" s="12" t="s">
        <v>1165</v>
      </c>
      <c r="C3" s="12">
        <v>1</v>
      </c>
      <c r="D3" s="12" t="s">
        <v>1166</v>
      </c>
      <c r="E3" s="17" t="s">
        <v>1167</v>
      </c>
      <c r="F3" s="12" t="s">
        <v>1168</v>
      </c>
      <c r="G3" s="13" t="s">
        <v>245</v>
      </c>
      <c r="H3" s="12">
        <v>28</v>
      </c>
      <c r="I3" s="17" t="s">
        <v>1169</v>
      </c>
      <c r="J3" s="12" t="s">
        <v>1142</v>
      </c>
      <c r="K3" s="12" t="s">
        <v>80</v>
      </c>
      <c r="L3" s="12">
        <v>0</v>
      </c>
      <c r="M3" s="12">
        <v>2</v>
      </c>
      <c r="N3" s="12">
        <v>0</v>
      </c>
      <c r="O3" s="12" t="s">
        <v>1170</v>
      </c>
      <c r="P3" s="17" t="s">
        <v>1149</v>
      </c>
      <c r="Q3" s="17" t="s">
        <v>1150</v>
      </c>
    </row>
    <row r="4" spans="1:17">
      <c r="A4" s="12" t="s">
        <v>116</v>
      </c>
      <c r="B4" s="12" t="s">
        <v>1165</v>
      </c>
      <c r="C4" s="12">
        <v>2</v>
      </c>
      <c r="D4" s="12" t="s">
        <v>1171</v>
      </c>
      <c r="E4" s="17" t="s">
        <v>1172</v>
      </c>
      <c r="F4" s="12" t="s">
        <v>1173</v>
      </c>
      <c r="G4" s="13" t="s">
        <v>281</v>
      </c>
      <c r="H4" s="12">
        <v>18</v>
      </c>
      <c r="I4" s="17" t="s">
        <v>1174</v>
      </c>
      <c r="J4" s="12" t="s">
        <v>1151</v>
      </c>
      <c r="K4" s="12" t="s">
        <v>81</v>
      </c>
      <c r="L4" s="12">
        <v>0</v>
      </c>
      <c r="M4" s="12">
        <v>0</v>
      </c>
      <c r="N4" s="12">
        <v>0</v>
      </c>
      <c r="O4" s="12" t="s">
        <v>1175</v>
      </c>
      <c r="P4" s="17" t="s">
        <v>1152</v>
      </c>
      <c r="Q4" s="17" t="s">
        <v>1153</v>
      </c>
    </row>
    <row r="5" spans="1:17">
      <c r="A5" s="12" t="s">
        <v>116</v>
      </c>
      <c r="B5" s="12" t="s">
        <v>1165</v>
      </c>
      <c r="C5" s="12">
        <v>3</v>
      </c>
      <c r="D5" s="12" t="s">
        <v>1176</v>
      </c>
      <c r="E5" s="17" t="s">
        <v>1177</v>
      </c>
      <c r="F5" s="12" t="s">
        <v>1178</v>
      </c>
      <c r="G5" s="13" t="s">
        <v>245</v>
      </c>
      <c r="H5" s="12">
        <v>9</v>
      </c>
      <c r="I5" s="17" t="s">
        <v>1179</v>
      </c>
      <c r="J5" s="12" t="s">
        <v>1154</v>
      </c>
      <c r="K5" s="12" t="s">
        <v>80</v>
      </c>
      <c r="L5" s="12">
        <v>0</v>
      </c>
      <c r="M5" s="12">
        <v>1</v>
      </c>
      <c r="N5" s="12">
        <v>0</v>
      </c>
      <c r="O5" s="12" t="s">
        <v>1180</v>
      </c>
      <c r="P5" s="17" t="s">
        <v>1155</v>
      </c>
      <c r="Q5" s="17" t="s">
        <v>1156</v>
      </c>
    </row>
    <row r="6" spans="1:17">
      <c r="A6" s="12" t="s">
        <v>116</v>
      </c>
      <c r="B6" s="12" t="s">
        <v>1165</v>
      </c>
      <c r="C6" s="12">
        <v>4</v>
      </c>
      <c r="D6" s="12" t="s">
        <v>1181</v>
      </c>
      <c r="E6" s="17" t="s">
        <v>1182</v>
      </c>
      <c r="F6" s="12" t="s">
        <v>1183</v>
      </c>
      <c r="G6" s="13" t="s">
        <v>152</v>
      </c>
      <c r="H6" s="12">
        <v>31</v>
      </c>
      <c r="I6" s="17" t="s">
        <v>1184</v>
      </c>
      <c r="J6" s="12" t="s">
        <v>1146</v>
      </c>
      <c r="K6" s="12" t="s">
        <v>80</v>
      </c>
      <c r="L6" s="12">
        <v>0</v>
      </c>
      <c r="M6" s="12">
        <v>0</v>
      </c>
      <c r="N6" s="12">
        <v>3</v>
      </c>
      <c r="O6" s="12" t="s">
        <v>1185</v>
      </c>
      <c r="P6" s="17" t="s">
        <v>1157</v>
      </c>
      <c r="Q6" s="17" t="s">
        <v>1158</v>
      </c>
    </row>
    <row r="7" spans="1:17">
      <c r="A7" s="12" t="s">
        <v>151</v>
      </c>
      <c r="B7" s="12" t="s">
        <v>1186</v>
      </c>
      <c r="C7" s="12">
        <v>1</v>
      </c>
      <c r="D7" s="12" t="s">
        <v>1187</v>
      </c>
      <c r="E7" s="17" t="s">
        <v>1188</v>
      </c>
      <c r="F7" s="12" t="s">
        <v>1189</v>
      </c>
      <c r="G7" s="13" t="s">
        <v>241</v>
      </c>
      <c r="H7" s="12">
        <v>12</v>
      </c>
      <c r="I7" s="17" t="s">
        <v>1190</v>
      </c>
      <c r="J7" s="12" t="s">
        <v>1154</v>
      </c>
      <c r="K7" s="12" t="s">
        <v>81</v>
      </c>
      <c r="L7" s="12">
        <v>0</v>
      </c>
      <c r="M7" s="12">
        <v>0</v>
      </c>
      <c r="N7" s="12">
        <v>0</v>
      </c>
      <c r="O7" s="12" t="s">
        <v>1191</v>
      </c>
      <c r="P7" s="17" t="s">
        <v>1149</v>
      </c>
      <c r="Q7" s="17" t="s">
        <v>1150</v>
      </c>
    </row>
    <row r="8" spans="1:17">
      <c r="A8" s="12" t="s">
        <v>188</v>
      </c>
      <c r="B8" s="12" t="s">
        <v>1192</v>
      </c>
      <c r="C8" s="12">
        <v>1</v>
      </c>
      <c r="D8" s="12" t="s">
        <v>1193</v>
      </c>
      <c r="E8" s="17" t="s">
        <v>1194</v>
      </c>
      <c r="F8" s="12" t="s">
        <v>1195</v>
      </c>
      <c r="G8" s="13" t="s">
        <v>79</v>
      </c>
      <c r="H8" s="12">
        <v>24</v>
      </c>
      <c r="I8" s="17" t="s">
        <v>1196</v>
      </c>
      <c r="J8" s="12" t="s">
        <v>1146</v>
      </c>
      <c r="K8" s="12" t="s">
        <v>80</v>
      </c>
      <c r="L8" s="12">
        <v>0</v>
      </c>
      <c r="M8" s="12">
        <v>1</v>
      </c>
      <c r="N8" s="12">
        <v>0</v>
      </c>
      <c r="O8" s="12" t="s">
        <v>1197</v>
      </c>
      <c r="P8" s="17" t="s">
        <v>1152</v>
      </c>
      <c r="Q8" s="17" t="s">
        <v>1153</v>
      </c>
    </row>
    <row r="9" spans="1:17">
      <c r="A9" s="12" t="s">
        <v>217</v>
      </c>
      <c r="B9" s="12" t="s">
        <v>1198</v>
      </c>
      <c r="C9" s="12">
        <v>1</v>
      </c>
      <c r="D9" s="12" t="s">
        <v>1199</v>
      </c>
      <c r="E9" s="17" t="s">
        <v>1200</v>
      </c>
      <c r="F9" s="12" t="s">
        <v>1201</v>
      </c>
      <c r="G9" s="13" t="s">
        <v>281</v>
      </c>
      <c r="H9" s="12">
        <v>17</v>
      </c>
      <c r="I9" s="17" t="s">
        <v>1202</v>
      </c>
      <c r="J9" s="12" t="s">
        <v>1142</v>
      </c>
      <c r="K9" s="12" t="s">
        <v>80</v>
      </c>
      <c r="L9" s="12">
        <v>1</v>
      </c>
      <c r="M9" s="12">
        <v>1</v>
      </c>
      <c r="N9" s="12">
        <v>1</v>
      </c>
      <c r="O9" s="12" t="s">
        <v>1203</v>
      </c>
      <c r="P9" s="17" t="s">
        <v>1155</v>
      </c>
      <c r="Q9" s="17" t="s">
        <v>1156</v>
      </c>
    </row>
    <row r="10" spans="1:17">
      <c r="A10" s="12" t="s">
        <v>251</v>
      </c>
      <c r="B10" s="12" t="s">
        <v>1204</v>
      </c>
      <c r="C10" s="12">
        <v>1</v>
      </c>
      <c r="D10" s="12" t="s">
        <v>1205</v>
      </c>
      <c r="E10" s="17" t="s">
        <v>1206</v>
      </c>
      <c r="F10" s="12" t="s">
        <v>1207</v>
      </c>
      <c r="G10" s="13" t="s">
        <v>281</v>
      </c>
      <c r="H10" s="12">
        <v>28</v>
      </c>
      <c r="I10" s="17" t="s">
        <v>1208</v>
      </c>
      <c r="J10" s="12" t="s">
        <v>1151</v>
      </c>
      <c r="K10" s="12" t="s">
        <v>80</v>
      </c>
      <c r="L10" s="12">
        <v>0</v>
      </c>
      <c r="M10" s="12">
        <v>3</v>
      </c>
      <c r="N10" s="12">
        <v>0</v>
      </c>
      <c r="O10" s="12" t="s">
        <v>1209</v>
      </c>
      <c r="P10" s="17" t="s">
        <v>1157</v>
      </c>
      <c r="Q10" s="17" t="s">
        <v>1158</v>
      </c>
    </row>
    <row r="11" spans="1:17">
      <c r="A11" s="12" t="s">
        <v>280</v>
      </c>
      <c r="B11" s="12" t="s">
        <v>1210</v>
      </c>
      <c r="C11" s="12">
        <v>1</v>
      </c>
      <c r="D11" s="12" t="s">
        <v>1211</v>
      </c>
      <c r="E11" s="17" t="s">
        <v>1212</v>
      </c>
      <c r="F11" s="12" t="s">
        <v>1213</v>
      </c>
      <c r="G11" s="13" t="s">
        <v>245</v>
      </c>
      <c r="H11" s="12">
        <v>16</v>
      </c>
      <c r="I11" s="17" t="s">
        <v>1214</v>
      </c>
      <c r="J11" s="12" t="s">
        <v>1154</v>
      </c>
      <c r="K11" s="12" t="s">
        <v>80</v>
      </c>
      <c r="L11" s="12">
        <v>0</v>
      </c>
      <c r="M11" s="12">
        <v>1</v>
      </c>
      <c r="N11" s="12">
        <v>0</v>
      </c>
      <c r="O11" s="12" t="s">
        <v>1215</v>
      </c>
      <c r="P11" s="17" t="s">
        <v>1159</v>
      </c>
      <c r="Q11" s="17" t="s">
        <v>1160</v>
      </c>
    </row>
    <row r="12" spans="1:17">
      <c r="A12" s="12" t="s">
        <v>309</v>
      </c>
      <c r="B12" s="12" t="s">
        <v>1216</v>
      </c>
      <c r="C12" s="12">
        <v>1</v>
      </c>
      <c r="D12" s="12" t="s">
        <v>1217</v>
      </c>
      <c r="E12" s="17" t="s">
        <v>1218</v>
      </c>
      <c r="F12" s="12" t="s">
        <v>1219</v>
      </c>
      <c r="G12" s="13" t="s">
        <v>152</v>
      </c>
      <c r="H12" s="12">
        <v>22</v>
      </c>
      <c r="I12" s="17" t="s">
        <v>1220</v>
      </c>
      <c r="J12" s="12" t="s">
        <v>1146</v>
      </c>
      <c r="K12" s="12" t="s">
        <v>80</v>
      </c>
      <c r="L12" s="12">
        <v>0</v>
      </c>
      <c r="M12" s="12">
        <v>0</v>
      </c>
      <c r="N12" s="12">
        <v>2</v>
      </c>
      <c r="O12" s="12" t="s">
        <v>1221</v>
      </c>
      <c r="P12" s="17" t="s">
        <v>1161</v>
      </c>
      <c r="Q12" s="17" t="s">
        <v>1162</v>
      </c>
    </row>
    <row r="13" spans="1:17">
      <c r="A13" s="12" t="s">
        <v>339</v>
      </c>
      <c r="B13" s="12" t="s">
        <v>1222</v>
      </c>
      <c r="C13" s="12">
        <v>1</v>
      </c>
      <c r="D13" s="12" t="s">
        <v>1223</v>
      </c>
      <c r="E13" s="17" t="s">
        <v>1224</v>
      </c>
      <c r="F13" s="12" t="s">
        <v>1225</v>
      </c>
      <c r="G13" s="13" t="s">
        <v>241</v>
      </c>
      <c r="H13" s="12">
        <v>11</v>
      </c>
      <c r="I13" s="17" t="s">
        <v>1226</v>
      </c>
      <c r="J13" s="12" t="s">
        <v>1142</v>
      </c>
      <c r="K13" s="12" t="s">
        <v>81</v>
      </c>
      <c r="L13" s="12">
        <v>0</v>
      </c>
      <c r="M13" s="12">
        <v>0</v>
      </c>
      <c r="N13" s="12">
        <v>0</v>
      </c>
      <c r="O13" s="12" t="s">
        <v>1227</v>
      </c>
      <c r="P13" s="17" t="s">
        <v>1163</v>
      </c>
      <c r="Q13" s="17" t="s">
        <v>1164</v>
      </c>
    </row>
    <row r="14" spans="1:17">
      <c r="A14" s="12" t="s">
        <v>339</v>
      </c>
      <c r="B14" s="12" t="s">
        <v>1222</v>
      </c>
      <c r="C14" s="12">
        <v>2</v>
      </c>
      <c r="D14" s="12" t="s">
        <v>1228</v>
      </c>
      <c r="E14" s="17" t="s">
        <v>1229</v>
      </c>
      <c r="F14" s="12" t="s">
        <v>1230</v>
      </c>
      <c r="G14" s="13" t="s">
        <v>310</v>
      </c>
      <c r="H14" s="12">
        <v>11</v>
      </c>
      <c r="I14" s="17" t="s">
        <v>1231</v>
      </c>
      <c r="J14" s="12" t="s">
        <v>1146</v>
      </c>
      <c r="K14" s="12" t="s">
        <v>80</v>
      </c>
      <c r="L14" s="12">
        <v>0</v>
      </c>
      <c r="M14" s="12">
        <v>0</v>
      </c>
      <c r="N14" s="12">
        <v>1</v>
      </c>
      <c r="O14" s="12" t="s">
        <v>1232</v>
      </c>
      <c r="P14" s="17" t="s">
        <v>1147</v>
      </c>
      <c r="Q14" s="17" t="s">
        <v>1148</v>
      </c>
    </row>
    <row r="15" spans="1:17">
      <c r="A15" s="12" t="s">
        <v>339</v>
      </c>
      <c r="B15" s="12" t="s">
        <v>1222</v>
      </c>
      <c r="C15" s="12">
        <v>3</v>
      </c>
      <c r="D15" s="12" t="s">
        <v>1166</v>
      </c>
      <c r="E15" s="17" t="s">
        <v>1167</v>
      </c>
      <c r="F15" s="12" t="s">
        <v>1168</v>
      </c>
      <c r="G15" s="13" t="s">
        <v>245</v>
      </c>
      <c r="H15" s="12">
        <v>28</v>
      </c>
      <c r="I15" s="17" t="s">
        <v>1169</v>
      </c>
      <c r="J15" s="12" t="s">
        <v>1142</v>
      </c>
      <c r="K15" s="12" t="s">
        <v>80</v>
      </c>
      <c r="L15" s="12">
        <v>0</v>
      </c>
      <c r="M15" s="12">
        <v>2</v>
      </c>
      <c r="N15" s="12">
        <v>0</v>
      </c>
      <c r="O15" s="12" t="s">
        <v>1170</v>
      </c>
      <c r="P15" s="17" t="s">
        <v>1149</v>
      </c>
      <c r="Q15" s="17" t="s">
        <v>1150</v>
      </c>
    </row>
    <row r="16" spans="1:17">
      <c r="A16" s="12" t="s">
        <v>339</v>
      </c>
      <c r="B16" s="12" t="s">
        <v>1222</v>
      </c>
      <c r="C16" s="12">
        <v>4</v>
      </c>
      <c r="D16" s="12" t="s">
        <v>1171</v>
      </c>
      <c r="E16" s="17" t="s">
        <v>1172</v>
      </c>
      <c r="F16" s="12" t="s">
        <v>1173</v>
      </c>
      <c r="G16" s="13" t="s">
        <v>281</v>
      </c>
      <c r="H16" s="12">
        <v>18</v>
      </c>
      <c r="I16" s="17" t="s">
        <v>1174</v>
      </c>
      <c r="J16" s="12" t="s">
        <v>1151</v>
      </c>
      <c r="K16" s="12" t="s">
        <v>81</v>
      </c>
      <c r="L16" s="12">
        <v>0</v>
      </c>
      <c r="M16" s="12">
        <v>0</v>
      </c>
      <c r="N16" s="12">
        <v>0</v>
      </c>
      <c r="O16" s="12" t="s">
        <v>1175</v>
      </c>
      <c r="P16" s="17" t="s">
        <v>1152</v>
      </c>
      <c r="Q16" s="17" t="s">
        <v>1153</v>
      </c>
    </row>
    <row r="17" spans="1:17">
      <c r="A17" s="12" t="s">
        <v>339</v>
      </c>
      <c r="B17" s="12" t="s">
        <v>1222</v>
      </c>
      <c r="C17" s="12">
        <v>5</v>
      </c>
      <c r="D17" s="12" t="s">
        <v>1176</v>
      </c>
      <c r="E17" s="17" t="s">
        <v>1177</v>
      </c>
      <c r="F17" s="12" t="s">
        <v>1178</v>
      </c>
      <c r="G17" s="13" t="s">
        <v>245</v>
      </c>
      <c r="H17" s="12">
        <v>9</v>
      </c>
      <c r="I17" s="17" t="s">
        <v>1179</v>
      </c>
      <c r="J17" s="12" t="s">
        <v>1154</v>
      </c>
      <c r="K17" s="12" t="s">
        <v>80</v>
      </c>
      <c r="L17" s="12">
        <v>0</v>
      </c>
      <c r="M17" s="12">
        <v>1</v>
      </c>
      <c r="N17" s="12">
        <v>0</v>
      </c>
      <c r="O17" s="12" t="s">
        <v>1180</v>
      </c>
      <c r="P17" s="17" t="s">
        <v>1155</v>
      </c>
      <c r="Q17" s="17" t="s">
        <v>1156</v>
      </c>
    </row>
    <row r="18" spans="1:17">
      <c r="A18" s="12" t="s">
        <v>339</v>
      </c>
      <c r="B18" s="12" t="s">
        <v>1222</v>
      </c>
      <c r="C18" s="12">
        <v>6</v>
      </c>
      <c r="D18" s="12" t="s">
        <v>1181</v>
      </c>
      <c r="E18" s="17" t="s">
        <v>1182</v>
      </c>
      <c r="F18" s="12" t="s">
        <v>1183</v>
      </c>
      <c r="G18" s="13" t="s">
        <v>152</v>
      </c>
      <c r="H18" s="12">
        <v>31</v>
      </c>
      <c r="I18" s="17" t="s">
        <v>1184</v>
      </c>
      <c r="J18" s="12" t="s">
        <v>1146</v>
      </c>
      <c r="K18" s="12" t="s">
        <v>80</v>
      </c>
      <c r="L18" s="12">
        <v>0</v>
      </c>
      <c r="M18" s="12">
        <v>0</v>
      </c>
      <c r="N18" s="12">
        <v>3</v>
      </c>
      <c r="O18" s="12" t="s">
        <v>1185</v>
      </c>
      <c r="P18" s="17" t="s">
        <v>1157</v>
      </c>
      <c r="Q18" s="17" t="s">
        <v>1158</v>
      </c>
    </row>
    <row r="19" spans="1:17">
      <c r="A19" s="12" t="s">
        <v>369</v>
      </c>
      <c r="B19" s="12" t="s">
        <v>1233</v>
      </c>
      <c r="C19" s="12">
        <v>1</v>
      </c>
      <c r="D19" s="12" t="s">
        <v>1234</v>
      </c>
      <c r="E19" s="17" t="s">
        <v>1235</v>
      </c>
      <c r="F19" s="12" t="s">
        <v>1236</v>
      </c>
      <c r="G19" s="13" t="s">
        <v>241</v>
      </c>
      <c r="H19" s="12">
        <v>15</v>
      </c>
      <c r="I19" s="17" t="s">
        <v>1237</v>
      </c>
      <c r="J19" s="12" t="s">
        <v>1142</v>
      </c>
      <c r="K19" s="12" t="s">
        <v>80</v>
      </c>
      <c r="L19" s="12">
        <v>0</v>
      </c>
      <c r="M19" s="12">
        <v>4</v>
      </c>
      <c r="N19" s="12">
        <v>0</v>
      </c>
      <c r="O19" s="12" t="s">
        <v>1238</v>
      </c>
      <c r="P19" s="17" t="s">
        <v>1159</v>
      </c>
      <c r="Q19" s="17" t="s">
        <v>1160</v>
      </c>
    </row>
    <row r="20" spans="1:17">
      <c r="A20" s="12"/>
      <c r="B20" s="12"/>
      <c r="C20" s="12"/>
      <c r="D20" s="12"/>
      <c r="E20" s="17"/>
      <c r="F20" s="12"/>
      <c r="G20" s="13"/>
      <c r="H20" s="12"/>
      <c r="I20" s="17"/>
      <c r="J20" s="12"/>
      <c r="K20" s="12"/>
      <c r="L20" s="12"/>
      <c r="M20" s="12"/>
      <c r="N20" s="12"/>
      <c r="O20" s="12"/>
      <c r="P20" s="17"/>
      <c r="Q20" s="17"/>
    </row>
    <row r="21" spans="1:17">
      <c r="A21" s="12"/>
      <c r="B21" s="12"/>
      <c r="C21" s="12"/>
      <c r="D21" s="12"/>
      <c r="E21" s="17"/>
      <c r="F21" s="12"/>
      <c r="G21" s="13"/>
      <c r="H21" s="12"/>
      <c r="I21" s="17"/>
      <c r="J21" s="12"/>
      <c r="K21" s="12"/>
      <c r="L21" s="12"/>
      <c r="M21" s="12"/>
      <c r="N21" s="12"/>
      <c r="O21" s="12"/>
      <c r="P21" s="17"/>
      <c r="Q21" s="17"/>
    </row>
    <row r="22" spans="1:17">
      <c r="A22" s="12"/>
      <c r="B22" s="12"/>
      <c r="C22" s="12"/>
      <c r="D22" s="12"/>
      <c r="E22" s="17"/>
      <c r="F22" s="12"/>
      <c r="G22" s="13"/>
      <c r="H22" s="12"/>
      <c r="I22" s="17"/>
      <c r="J22" s="12"/>
      <c r="K22" s="12"/>
      <c r="L22" s="12"/>
      <c r="M22" s="12"/>
      <c r="N22" s="12"/>
      <c r="O22" s="12"/>
      <c r="P22" s="17"/>
      <c r="Q22" s="17"/>
    </row>
    <row r="23" spans="1:17">
      <c r="A23" s="12"/>
      <c r="B23" s="12"/>
      <c r="C23" s="12"/>
      <c r="D23" s="12"/>
      <c r="E23" s="17"/>
      <c r="F23" s="12"/>
      <c r="G23" s="13"/>
      <c r="H23" s="12"/>
      <c r="I23" s="17"/>
      <c r="J23" s="12"/>
      <c r="K23" s="12"/>
      <c r="L23" s="12"/>
      <c r="M23" s="12"/>
      <c r="N23" s="12"/>
      <c r="O23" s="12"/>
      <c r="P23" s="17"/>
      <c r="Q23" s="17"/>
    </row>
    <row r="24" spans="1:17">
      <c r="A24" s="12"/>
      <c r="B24" s="12"/>
      <c r="C24" s="12"/>
      <c r="D24" s="12"/>
      <c r="E24" s="17"/>
      <c r="F24" s="12"/>
      <c r="G24" s="13"/>
      <c r="H24" s="12"/>
      <c r="I24" s="17"/>
      <c r="J24" s="12"/>
      <c r="K24" s="12"/>
      <c r="L24" s="12"/>
      <c r="M24" s="12"/>
      <c r="N24" s="12"/>
      <c r="O24" s="12"/>
      <c r="P24" s="17"/>
      <c r="Q24" s="17"/>
    </row>
    <row r="25" spans="1:17">
      <c r="A25" s="12"/>
      <c r="B25" s="12"/>
      <c r="C25" s="12"/>
      <c r="D25" s="12"/>
      <c r="E25" s="17"/>
      <c r="F25" s="12"/>
      <c r="G25" s="13"/>
      <c r="H25" s="12"/>
      <c r="I25" s="17"/>
      <c r="J25" s="12"/>
      <c r="K25" s="12"/>
      <c r="L25" s="12"/>
      <c r="M25" s="12"/>
      <c r="N25" s="12"/>
      <c r="O25" s="12"/>
      <c r="P25" s="17"/>
      <c r="Q25" s="17"/>
    </row>
    <row r="26" spans="1:17">
      <c r="A26" s="12"/>
      <c r="B26" s="12"/>
      <c r="C26" s="12"/>
      <c r="D26" s="12"/>
      <c r="E26" s="17"/>
      <c r="F26" s="12"/>
      <c r="G26" s="13"/>
      <c r="H26" s="12"/>
      <c r="I26" s="17"/>
      <c r="J26" s="12"/>
      <c r="K26" s="12"/>
      <c r="L26" s="12"/>
      <c r="M26" s="12"/>
      <c r="N26" s="12"/>
      <c r="O26" s="12"/>
      <c r="P26" s="17"/>
      <c r="Q26" s="17"/>
    </row>
    <row r="27" spans="1:17">
      <c r="A27" s="12"/>
      <c r="B27" s="12"/>
      <c r="C27" s="12"/>
      <c r="D27" s="12"/>
      <c r="E27" s="17"/>
      <c r="F27" s="12"/>
      <c r="G27" s="13"/>
      <c r="H27" s="12"/>
      <c r="I27" s="17"/>
      <c r="J27" s="12"/>
      <c r="K27" s="12"/>
      <c r="L27" s="12"/>
      <c r="M27" s="12"/>
      <c r="N27" s="12"/>
      <c r="O27" s="12"/>
      <c r="P27" s="17"/>
      <c r="Q27" s="17"/>
    </row>
    <row r="28" spans="1:17">
      <c r="A28" s="12"/>
      <c r="B28" s="12"/>
      <c r="C28" s="12"/>
      <c r="D28" s="12"/>
      <c r="E28" s="17"/>
      <c r="F28" s="12"/>
      <c r="G28" s="13"/>
      <c r="H28" s="12"/>
      <c r="I28" s="17"/>
      <c r="J28" s="12"/>
      <c r="K28" s="12"/>
      <c r="L28" s="12"/>
      <c r="M28" s="12"/>
      <c r="N28" s="12"/>
      <c r="O28" s="12"/>
      <c r="P28" s="17"/>
      <c r="Q28" s="17"/>
    </row>
    <row r="29" spans="1:17">
      <c r="A29" s="12"/>
      <c r="B29" s="12"/>
      <c r="C29" s="12"/>
      <c r="D29" s="12"/>
      <c r="E29" s="17"/>
      <c r="F29" s="12"/>
      <c r="G29" s="13"/>
      <c r="H29" s="12"/>
      <c r="I29" s="17"/>
      <c r="J29" s="12"/>
      <c r="K29" s="12"/>
      <c r="L29" s="12"/>
      <c r="M29" s="12"/>
      <c r="N29" s="12"/>
      <c r="O29" s="12"/>
      <c r="P29" s="17"/>
      <c r="Q29" s="17"/>
    </row>
    <row r="30" spans="1:17">
      <c r="A30" s="12"/>
      <c r="B30" s="12"/>
      <c r="C30" s="12"/>
      <c r="D30" s="12"/>
      <c r="E30" s="17"/>
      <c r="F30" s="12"/>
      <c r="G30" s="13"/>
      <c r="H30" s="12"/>
      <c r="I30" s="17"/>
      <c r="J30" s="12"/>
      <c r="K30" s="12"/>
      <c r="L30" s="12"/>
      <c r="M30" s="12"/>
      <c r="N30" s="12"/>
      <c r="O30" s="12"/>
      <c r="P30" s="17"/>
      <c r="Q30" s="17"/>
    </row>
    <row r="31" spans="1:17">
      <c r="A31" s="12"/>
      <c r="B31" s="12"/>
      <c r="C31" s="12"/>
      <c r="D31" s="12"/>
      <c r="E31" s="17"/>
      <c r="F31" s="12"/>
      <c r="G31" s="13"/>
      <c r="H31" s="12"/>
      <c r="I31" s="17"/>
      <c r="J31" s="12"/>
      <c r="K31" s="12"/>
      <c r="L31" s="12"/>
      <c r="M31" s="12"/>
      <c r="N31" s="12"/>
      <c r="O31" s="12"/>
      <c r="P31" s="17"/>
      <c r="Q31" s="17"/>
    </row>
    <row r="32" spans="1:17">
      <c r="A32" s="12"/>
      <c r="B32" s="12"/>
      <c r="C32" s="12"/>
      <c r="D32" s="12"/>
      <c r="E32" s="17"/>
      <c r="F32" s="12"/>
      <c r="G32" s="13"/>
      <c r="H32" s="12"/>
      <c r="I32" s="17"/>
      <c r="J32" s="12"/>
      <c r="K32" s="12"/>
      <c r="L32" s="12"/>
      <c r="M32" s="12"/>
      <c r="N32" s="12"/>
      <c r="O32" s="12"/>
      <c r="P32" s="17"/>
      <c r="Q32" s="17"/>
    </row>
    <row r="33" spans="1:17">
      <c r="A33" s="12"/>
      <c r="B33" s="12"/>
      <c r="C33" s="12"/>
      <c r="D33" s="12"/>
      <c r="E33" s="17"/>
      <c r="F33" s="12"/>
      <c r="G33" s="13"/>
      <c r="H33" s="12"/>
      <c r="I33" s="17"/>
      <c r="J33" s="12"/>
      <c r="K33" s="12"/>
      <c r="L33" s="12"/>
      <c r="M33" s="12"/>
      <c r="N33" s="12"/>
      <c r="O33" s="12"/>
      <c r="P33" s="17"/>
      <c r="Q33" s="17"/>
    </row>
    <row r="34" spans="1:17">
      <c r="A34" s="12"/>
      <c r="B34" s="12"/>
      <c r="C34" s="12"/>
      <c r="D34" s="12"/>
      <c r="E34" s="17"/>
      <c r="F34" s="12"/>
      <c r="G34" s="13"/>
      <c r="H34" s="12"/>
      <c r="I34" s="17"/>
      <c r="J34" s="12"/>
      <c r="K34" s="12"/>
      <c r="L34" s="12"/>
      <c r="M34" s="12"/>
      <c r="N34" s="12"/>
      <c r="O34" s="12"/>
      <c r="P34" s="17"/>
      <c r="Q34" s="17"/>
    </row>
    <row r="35" spans="1:17">
      <c r="A35" s="12"/>
      <c r="B35" s="12"/>
      <c r="C35" s="12"/>
      <c r="D35" s="12"/>
      <c r="E35" s="17"/>
      <c r="F35" s="12"/>
      <c r="G35" s="13"/>
      <c r="H35" s="12"/>
      <c r="I35" s="17"/>
      <c r="J35" s="12"/>
      <c r="K35" s="12"/>
      <c r="L35" s="12"/>
      <c r="M35" s="12"/>
      <c r="N35" s="12"/>
      <c r="O35" s="12"/>
      <c r="P35" s="17"/>
      <c r="Q35" s="17"/>
    </row>
    <row r="36" spans="1:17">
      <c r="A36" s="12"/>
      <c r="B36" s="12"/>
      <c r="C36" s="12"/>
      <c r="D36" s="12"/>
      <c r="E36" s="17"/>
      <c r="F36" s="12"/>
      <c r="G36" s="13"/>
      <c r="H36" s="12"/>
      <c r="I36" s="17"/>
      <c r="J36" s="12"/>
      <c r="K36" s="12"/>
      <c r="L36" s="12"/>
      <c r="M36" s="12"/>
      <c r="N36" s="12"/>
      <c r="O36" s="12"/>
      <c r="P36" s="17"/>
      <c r="Q36" s="17"/>
    </row>
    <row r="37" spans="1:17">
      <c r="A37" s="12"/>
      <c r="B37" s="12"/>
      <c r="C37" s="12"/>
      <c r="D37" s="12"/>
      <c r="E37" s="17"/>
      <c r="F37" s="12"/>
      <c r="G37" s="13"/>
      <c r="H37" s="12"/>
      <c r="I37" s="17"/>
      <c r="J37" s="12"/>
      <c r="K37" s="12"/>
      <c r="L37" s="12"/>
      <c r="M37" s="12"/>
      <c r="N37" s="12"/>
      <c r="O37" s="12"/>
      <c r="P37" s="17"/>
      <c r="Q37" s="17"/>
    </row>
    <row r="38" spans="1:17">
      <c r="A38" s="12"/>
      <c r="B38" s="12"/>
      <c r="C38" s="12"/>
      <c r="D38" s="12"/>
      <c r="E38" s="17"/>
      <c r="F38" s="12"/>
      <c r="G38" s="13"/>
      <c r="H38" s="12"/>
      <c r="I38" s="17"/>
      <c r="J38" s="12"/>
      <c r="K38" s="12"/>
      <c r="L38" s="12"/>
      <c r="M38" s="12"/>
      <c r="N38" s="12"/>
      <c r="O38" s="12"/>
      <c r="P38" s="17"/>
      <c r="Q38" s="17"/>
    </row>
    <row r="39" spans="1:17">
      <c r="A39" s="12"/>
      <c r="B39" s="12"/>
      <c r="C39" s="12"/>
      <c r="D39" s="12"/>
      <c r="E39" s="17"/>
      <c r="F39" s="12"/>
      <c r="G39" s="13"/>
      <c r="H39" s="12"/>
      <c r="I39" s="17"/>
      <c r="J39" s="12"/>
      <c r="K39" s="12"/>
      <c r="L39" s="12"/>
      <c r="M39" s="12"/>
      <c r="N39" s="12"/>
      <c r="O39" s="12"/>
      <c r="P39" s="17"/>
      <c r="Q39" s="17"/>
    </row>
    <row r="40" spans="1:17">
      <c r="A40" s="12"/>
      <c r="B40" s="12"/>
      <c r="C40" s="12"/>
      <c r="D40" s="12"/>
      <c r="E40" s="17"/>
      <c r="F40" s="12"/>
      <c r="G40" s="13"/>
      <c r="H40" s="12"/>
      <c r="I40" s="17"/>
      <c r="J40" s="12"/>
      <c r="K40" s="12"/>
      <c r="L40" s="12"/>
      <c r="M40" s="12"/>
      <c r="N40" s="12"/>
      <c r="O40" s="12"/>
      <c r="P40" s="17"/>
      <c r="Q40" s="17"/>
    </row>
    <row r="41" spans="1:17">
      <c r="A41" s="12"/>
      <c r="B41" s="12"/>
      <c r="C41" s="12"/>
      <c r="D41" s="12"/>
      <c r="E41" s="17"/>
      <c r="F41" s="12"/>
      <c r="G41" s="13"/>
      <c r="H41" s="12"/>
      <c r="I41" s="17"/>
      <c r="J41" s="12"/>
      <c r="K41" s="12"/>
      <c r="L41" s="12"/>
      <c r="M41" s="12"/>
      <c r="N41" s="12"/>
      <c r="O41" s="12"/>
      <c r="P41" s="17"/>
      <c r="Q41" s="17"/>
    </row>
    <row r="42" spans="1:17">
      <c r="A42" s="12"/>
      <c r="B42" s="12"/>
      <c r="C42" s="12"/>
      <c r="D42" s="12"/>
      <c r="E42" s="17"/>
      <c r="F42" s="12"/>
      <c r="G42" s="13"/>
      <c r="H42" s="12"/>
      <c r="I42" s="17"/>
      <c r="J42" s="12"/>
      <c r="K42" s="12"/>
      <c r="L42" s="12"/>
      <c r="M42" s="12"/>
      <c r="N42" s="12"/>
      <c r="O42" s="12"/>
      <c r="P42" s="17"/>
      <c r="Q42" s="17"/>
    </row>
    <row r="43" spans="1:17">
      <c r="A43" s="12"/>
      <c r="B43" s="12"/>
      <c r="C43" s="12"/>
      <c r="D43" s="12"/>
      <c r="E43" s="17"/>
      <c r="F43" s="12"/>
      <c r="G43" s="13"/>
      <c r="H43" s="12"/>
      <c r="I43" s="17"/>
      <c r="J43" s="12"/>
      <c r="K43" s="12"/>
      <c r="L43" s="12"/>
      <c r="M43" s="12"/>
      <c r="N43" s="12"/>
      <c r="O43" s="12"/>
      <c r="P43" s="17"/>
      <c r="Q43" s="17"/>
    </row>
    <row r="44" spans="1:17">
      <c r="A44" s="12"/>
      <c r="B44" s="12"/>
      <c r="C44" s="12"/>
      <c r="D44" s="12"/>
      <c r="E44" s="17"/>
      <c r="F44" s="12"/>
      <c r="G44" s="13"/>
      <c r="H44" s="12"/>
      <c r="I44" s="17"/>
      <c r="J44" s="12"/>
      <c r="K44" s="12"/>
      <c r="L44" s="12"/>
      <c r="M44" s="12"/>
      <c r="N44" s="12"/>
      <c r="O44" s="12"/>
      <c r="P44" s="17"/>
      <c r="Q44" s="17"/>
    </row>
    <row r="45" spans="1:17">
      <c r="A45" s="12"/>
      <c r="B45" s="12"/>
      <c r="C45" s="12"/>
      <c r="D45" s="12"/>
      <c r="E45" s="17"/>
      <c r="F45" s="12"/>
      <c r="G45" s="13"/>
      <c r="H45" s="12"/>
      <c r="I45" s="17"/>
      <c r="J45" s="12"/>
      <c r="K45" s="12"/>
      <c r="L45" s="12"/>
      <c r="M45" s="12"/>
      <c r="N45" s="12"/>
      <c r="O45" s="12"/>
      <c r="P45" s="17"/>
      <c r="Q45" s="17"/>
    </row>
    <row r="46" spans="1:17">
      <c r="A46" s="12"/>
      <c r="B46" s="12"/>
      <c r="C46" s="12"/>
      <c r="D46" s="12"/>
      <c r="E46" s="17"/>
      <c r="F46" s="12"/>
      <c r="G46" s="13"/>
      <c r="H46" s="12"/>
      <c r="I46" s="17"/>
      <c r="J46" s="12"/>
      <c r="K46" s="12"/>
      <c r="L46" s="12"/>
      <c r="M46" s="12"/>
      <c r="N46" s="12"/>
      <c r="O46" s="12"/>
      <c r="P46" s="17"/>
      <c r="Q46" s="17"/>
    </row>
    <row r="47" spans="1:17">
      <c r="A47" s="12"/>
      <c r="B47" s="12"/>
      <c r="C47" s="12"/>
      <c r="D47" s="12"/>
      <c r="E47" s="17"/>
      <c r="F47" s="12"/>
      <c r="G47" s="13"/>
      <c r="H47" s="12"/>
      <c r="I47" s="17"/>
      <c r="J47" s="12"/>
      <c r="K47" s="12"/>
      <c r="L47" s="12"/>
      <c r="M47" s="12"/>
      <c r="N47" s="12"/>
      <c r="O47" s="12"/>
      <c r="P47" s="17"/>
      <c r="Q47" s="17"/>
    </row>
    <row r="48" spans="1:17">
      <c r="A48" s="12"/>
      <c r="B48" s="12"/>
      <c r="C48" s="12"/>
      <c r="D48" s="12"/>
      <c r="E48" s="17"/>
      <c r="F48" s="12"/>
      <c r="G48" s="13"/>
      <c r="H48" s="12"/>
      <c r="I48" s="17"/>
      <c r="J48" s="12"/>
      <c r="K48" s="12"/>
      <c r="L48" s="12"/>
      <c r="M48" s="12"/>
      <c r="N48" s="12"/>
      <c r="O48" s="12"/>
      <c r="P48" s="17"/>
      <c r="Q48" s="17"/>
    </row>
    <row r="49" spans="1:17">
      <c r="A49" s="12"/>
      <c r="B49" s="12"/>
      <c r="C49" s="12"/>
      <c r="D49" s="12"/>
      <c r="E49" s="17"/>
      <c r="F49" s="12"/>
      <c r="G49" s="13"/>
      <c r="H49" s="12"/>
      <c r="I49" s="17"/>
      <c r="J49" s="12"/>
      <c r="K49" s="12"/>
      <c r="L49" s="12"/>
      <c r="M49" s="12"/>
      <c r="N49" s="12"/>
      <c r="O49" s="12"/>
      <c r="P49" s="17"/>
      <c r="Q49" s="17"/>
    </row>
    <row r="50" spans="1:17">
      <c r="A50" s="12"/>
      <c r="B50" s="12"/>
      <c r="C50" s="12"/>
      <c r="D50" s="12"/>
      <c r="E50" s="17"/>
      <c r="F50" s="12"/>
      <c r="G50" s="13"/>
      <c r="H50" s="12"/>
      <c r="I50" s="17"/>
      <c r="J50" s="12"/>
      <c r="K50" s="12"/>
      <c r="L50" s="12"/>
      <c r="M50" s="12"/>
      <c r="N50" s="12"/>
      <c r="O50" s="12"/>
      <c r="P50" s="17"/>
      <c r="Q50" s="17"/>
    </row>
    <row r="51" spans="1:17">
      <c r="A51" s="12"/>
      <c r="B51" s="12"/>
      <c r="C51" s="12"/>
      <c r="D51" s="12"/>
      <c r="E51" s="17"/>
      <c r="F51" s="12"/>
      <c r="G51" s="13"/>
      <c r="H51" s="12"/>
      <c r="I51" s="17"/>
      <c r="J51" s="12"/>
      <c r="K51" s="12"/>
      <c r="L51" s="12"/>
      <c r="M51" s="12"/>
      <c r="N51" s="12"/>
      <c r="O51" s="12"/>
      <c r="P51" s="17"/>
      <c r="Q51" s="17"/>
    </row>
    <row r="52" spans="1:17">
      <c r="A52" s="12"/>
      <c r="B52" s="12"/>
      <c r="C52" s="12"/>
      <c r="D52" s="12"/>
      <c r="E52" s="17"/>
      <c r="F52" s="12"/>
      <c r="G52" s="13"/>
      <c r="H52" s="12"/>
      <c r="I52" s="17"/>
      <c r="J52" s="12"/>
      <c r="K52" s="12"/>
      <c r="L52" s="12"/>
      <c r="M52" s="12"/>
      <c r="N52" s="12"/>
      <c r="O52" s="12"/>
      <c r="P52" s="17"/>
      <c r="Q52" s="17"/>
    </row>
    <row r="53" spans="1:17">
      <c r="A53" s="12"/>
      <c r="B53" s="12"/>
      <c r="C53" s="12"/>
      <c r="D53" s="12"/>
      <c r="E53" s="17"/>
      <c r="F53" s="12"/>
      <c r="G53" s="13"/>
      <c r="H53" s="12"/>
      <c r="I53" s="17"/>
      <c r="J53" s="12"/>
      <c r="K53" s="12"/>
      <c r="L53" s="12"/>
      <c r="M53" s="12"/>
      <c r="N53" s="12"/>
      <c r="O53" s="12"/>
      <c r="P53" s="17"/>
      <c r="Q53" s="17"/>
    </row>
    <row r="54" spans="1:17">
      <c r="A54" s="12"/>
      <c r="B54" s="12"/>
      <c r="C54" s="12"/>
      <c r="D54" s="12"/>
      <c r="E54" s="17"/>
      <c r="F54" s="12"/>
      <c r="G54" s="13"/>
      <c r="H54" s="12"/>
      <c r="I54" s="17"/>
      <c r="J54" s="12"/>
      <c r="K54" s="12"/>
      <c r="L54" s="12"/>
      <c r="M54" s="12"/>
      <c r="N54" s="12"/>
      <c r="O54" s="12"/>
      <c r="P54" s="17"/>
      <c r="Q54" s="17"/>
    </row>
    <row r="55" spans="1:17">
      <c r="A55" s="12"/>
      <c r="B55" s="12"/>
      <c r="C55" s="12"/>
      <c r="D55" s="12"/>
      <c r="E55" s="17"/>
      <c r="F55" s="12"/>
      <c r="G55" s="13"/>
      <c r="H55" s="12"/>
      <c r="I55" s="17"/>
      <c r="J55" s="12"/>
      <c r="K55" s="12"/>
      <c r="L55" s="12"/>
      <c r="M55" s="12"/>
      <c r="N55" s="12"/>
      <c r="O55" s="12"/>
      <c r="P55" s="17"/>
      <c r="Q55" s="17"/>
    </row>
    <row r="56" spans="1:17">
      <c r="A56" s="12"/>
      <c r="B56" s="12"/>
      <c r="C56" s="12"/>
      <c r="D56" s="12"/>
      <c r="E56" s="17"/>
      <c r="F56" s="12"/>
      <c r="G56" s="13"/>
      <c r="H56" s="12"/>
      <c r="I56" s="17"/>
      <c r="J56" s="12"/>
      <c r="K56" s="12"/>
      <c r="L56" s="12"/>
      <c r="M56" s="12"/>
      <c r="N56" s="12"/>
      <c r="O56" s="12"/>
      <c r="P56" s="17"/>
      <c r="Q56" s="17"/>
    </row>
    <row r="57" spans="1:17">
      <c r="A57" s="12"/>
      <c r="B57" s="12"/>
      <c r="C57" s="12"/>
      <c r="D57" s="12"/>
      <c r="E57" s="17"/>
      <c r="F57" s="12"/>
      <c r="G57" s="13"/>
      <c r="H57" s="12"/>
      <c r="I57" s="17"/>
      <c r="J57" s="12"/>
      <c r="K57" s="12"/>
      <c r="L57" s="12"/>
      <c r="M57" s="12"/>
      <c r="N57" s="12"/>
      <c r="O57" s="12"/>
      <c r="P57" s="17"/>
      <c r="Q57" s="17"/>
    </row>
    <row r="58" spans="1:17">
      <c r="A58" s="12"/>
      <c r="B58" s="12"/>
      <c r="C58" s="12"/>
      <c r="D58" s="12"/>
      <c r="E58" s="17"/>
      <c r="F58" s="12"/>
      <c r="G58" s="13"/>
      <c r="H58" s="12"/>
      <c r="I58" s="17"/>
      <c r="J58" s="12"/>
      <c r="K58" s="12"/>
      <c r="L58" s="12"/>
      <c r="M58" s="12"/>
      <c r="N58" s="12"/>
      <c r="O58" s="12"/>
      <c r="P58" s="17"/>
      <c r="Q58" s="17"/>
    </row>
    <row r="59" spans="1:17">
      <c r="A59" s="12"/>
      <c r="B59" s="12"/>
      <c r="C59" s="12"/>
      <c r="D59" s="12"/>
      <c r="E59" s="17"/>
      <c r="F59" s="12"/>
      <c r="G59" s="13"/>
      <c r="H59" s="12"/>
      <c r="I59" s="17"/>
      <c r="J59" s="12"/>
      <c r="K59" s="12"/>
      <c r="L59" s="12"/>
      <c r="M59" s="12"/>
      <c r="N59" s="12"/>
      <c r="O59" s="12"/>
      <c r="P59" s="17"/>
      <c r="Q59" s="17"/>
    </row>
  </sheetData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6"/>
  <sheetViews>
    <sheetView workbookViewId="0">
      <selection activeCell="A3" sqref="A3:XFD11"/>
    </sheetView>
  </sheetViews>
  <sheetFormatPr defaultRowHeight="14.4"/>
  <cols>
    <col min="1" max="2" width="9.33203125" customWidth="1"/>
    <col min="3" max="3" width="39" customWidth="1"/>
    <col min="4" max="4" width="14" customWidth="1"/>
    <col min="5" max="5" width="15" customWidth="1"/>
    <col min="6" max="6" width="39.44140625" customWidth="1"/>
    <col min="7" max="7" width="12" customWidth="1"/>
    <col min="8" max="8" width="20" customWidth="1"/>
    <col min="9" max="9" width="18" customWidth="1"/>
    <col min="10" max="10" width="42.109375" customWidth="1"/>
    <col min="11" max="24" width="13.5546875" customWidth="1"/>
  </cols>
  <sheetData>
    <row r="1" spans="1:10">
      <c r="A1" s="12" t="s">
        <v>0</v>
      </c>
      <c r="B1" s="12" t="s">
        <v>1125</v>
      </c>
      <c r="C1" s="12" t="s">
        <v>1239</v>
      </c>
      <c r="D1" s="12" t="s">
        <v>1240</v>
      </c>
      <c r="E1" s="12" t="s">
        <v>1241</v>
      </c>
      <c r="F1" s="12" t="s">
        <v>1242</v>
      </c>
      <c r="G1" s="12" t="s">
        <v>1243</v>
      </c>
      <c r="H1" s="12" t="s">
        <v>1244</v>
      </c>
      <c r="I1" s="12" t="s">
        <v>1245</v>
      </c>
      <c r="J1" s="12" t="s">
        <v>409</v>
      </c>
    </row>
    <row r="2" spans="1:10">
      <c r="A2" s="12" t="s">
        <v>78</v>
      </c>
      <c r="B2" s="12">
        <v>1</v>
      </c>
      <c r="C2" s="12" t="s">
        <v>212</v>
      </c>
      <c r="D2" s="12">
        <v>2024</v>
      </c>
      <c r="E2" s="12" t="s">
        <v>1246</v>
      </c>
      <c r="F2" s="17" t="s">
        <v>1247</v>
      </c>
      <c r="G2" s="12" t="s">
        <v>80</v>
      </c>
      <c r="H2" s="12" t="s">
        <v>1248</v>
      </c>
      <c r="I2" s="17" t="s">
        <v>1249</v>
      </c>
      <c r="J2" s="17" t="s">
        <v>1250</v>
      </c>
    </row>
    <row r="3" spans="1:10">
      <c r="A3" s="12" t="s">
        <v>116</v>
      </c>
      <c r="B3" s="12">
        <v>1</v>
      </c>
      <c r="C3" s="12" t="s">
        <v>212</v>
      </c>
      <c r="D3" s="12">
        <v>2023</v>
      </c>
      <c r="E3" s="12" t="s">
        <v>1268</v>
      </c>
      <c r="F3" s="17" t="s">
        <v>1252</v>
      </c>
      <c r="G3" s="12" t="s">
        <v>80</v>
      </c>
      <c r="H3" s="12" t="s">
        <v>1269</v>
      </c>
      <c r="I3" s="17" t="s">
        <v>1270</v>
      </c>
      <c r="J3" s="17" t="s">
        <v>1271</v>
      </c>
    </row>
    <row r="4" spans="1:10">
      <c r="A4" s="12" t="s">
        <v>151</v>
      </c>
      <c r="B4" s="12">
        <v>1</v>
      </c>
      <c r="C4" s="12" t="s">
        <v>212</v>
      </c>
      <c r="D4" s="12">
        <v>2022</v>
      </c>
      <c r="E4" s="12" t="s">
        <v>1272</v>
      </c>
      <c r="F4" s="17" t="s">
        <v>1029</v>
      </c>
      <c r="G4" s="12" t="s">
        <v>81</v>
      </c>
      <c r="H4" s="12"/>
      <c r="I4" s="17" t="s">
        <v>1273</v>
      </c>
      <c r="J4" s="17" t="s">
        <v>1274</v>
      </c>
    </row>
    <row r="5" spans="1:10">
      <c r="A5" s="12" t="s">
        <v>188</v>
      </c>
      <c r="B5" s="12">
        <v>1</v>
      </c>
      <c r="C5" s="12" t="s">
        <v>212</v>
      </c>
      <c r="D5" s="12">
        <v>2021</v>
      </c>
      <c r="E5" s="12" t="s">
        <v>1264</v>
      </c>
      <c r="F5" s="17" t="s">
        <v>1049</v>
      </c>
      <c r="G5" s="12" t="s">
        <v>80</v>
      </c>
      <c r="H5" s="12" t="s">
        <v>1275</v>
      </c>
      <c r="I5" s="17" t="s">
        <v>1255</v>
      </c>
      <c r="J5" s="17" t="s">
        <v>1256</v>
      </c>
    </row>
    <row r="6" spans="1:10">
      <c r="A6" s="12" t="s">
        <v>217</v>
      </c>
      <c r="B6" s="12">
        <v>1</v>
      </c>
      <c r="C6" s="12" t="s">
        <v>212</v>
      </c>
      <c r="D6" s="12">
        <v>2024</v>
      </c>
      <c r="E6" s="12" t="s">
        <v>1251</v>
      </c>
      <c r="F6" s="17" t="s">
        <v>1257</v>
      </c>
      <c r="G6" s="12" t="s">
        <v>80</v>
      </c>
      <c r="H6" s="12" t="s">
        <v>1276</v>
      </c>
      <c r="I6" s="17" t="s">
        <v>1258</v>
      </c>
      <c r="J6" s="17" t="s">
        <v>1259</v>
      </c>
    </row>
    <row r="7" spans="1:10">
      <c r="A7" s="12" t="s">
        <v>251</v>
      </c>
      <c r="B7" s="12">
        <v>1</v>
      </c>
      <c r="C7" s="12" t="s">
        <v>212</v>
      </c>
      <c r="D7" s="12">
        <v>2020</v>
      </c>
      <c r="E7" s="12" t="s">
        <v>1254</v>
      </c>
      <c r="F7" s="17" t="s">
        <v>1056</v>
      </c>
      <c r="G7" s="12" t="s">
        <v>80</v>
      </c>
      <c r="H7" s="12" t="s">
        <v>1277</v>
      </c>
      <c r="I7" s="17" t="s">
        <v>1266</v>
      </c>
      <c r="J7" s="17" t="s">
        <v>1267</v>
      </c>
    </row>
    <row r="8" spans="1:10">
      <c r="A8" s="12" t="s">
        <v>280</v>
      </c>
      <c r="B8" s="12">
        <v>1</v>
      </c>
      <c r="C8" s="12" t="s">
        <v>212</v>
      </c>
      <c r="D8" s="12">
        <v>2023</v>
      </c>
      <c r="E8" s="12" t="s">
        <v>1261</v>
      </c>
      <c r="F8" s="17" t="s">
        <v>1262</v>
      </c>
      <c r="G8" s="12" t="s">
        <v>81</v>
      </c>
      <c r="H8" s="12"/>
      <c r="I8" s="17" t="s">
        <v>1270</v>
      </c>
      <c r="J8" s="17" t="s">
        <v>1271</v>
      </c>
    </row>
    <row r="9" spans="1:10">
      <c r="A9" s="12" t="s">
        <v>280</v>
      </c>
      <c r="B9" s="12">
        <v>2</v>
      </c>
      <c r="C9" s="12" t="s">
        <v>212</v>
      </c>
      <c r="D9" s="12">
        <v>2019</v>
      </c>
      <c r="E9" s="12" t="s">
        <v>1253</v>
      </c>
      <c r="F9" s="17" t="s">
        <v>1263</v>
      </c>
      <c r="G9" s="12" t="s">
        <v>81</v>
      </c>
      <c r="H9" s="12"/>
      <c r="I9" s="17" t="s">
        <v>1273</v>
      </c>
      <c r="J9" s="17" t="s">
        <v>1274</v>
      </c>
    </row>
    <row r="10" spans="1:10">
      <c r="A10" s="12" t="s">
        <v>280</v>
      </c>
      <c r="B10" s="12">
        <v>3</v>
      </c>
      <c r="C10" s="12" t="s">
        <v>212</v>
      </c>
      <c r="D10" s="12">
        <v>2022</v>
      </c>
      <c r="E10" s="12" t="s">
        <v>1261</v>
      </c>
      <c r="F10" s="17" t="s">
        <v>1265</v>
      </c>
      <c r="G10" s="12" t="s">
        <v>80</v>
      </c>
      <c r="H10" s="12" t="s">
        <v>1278</v>
      </c>
      <c r="I10" s="17" t="s">
        <v>1279</v>
      </c>
      <c r="J10" s="17" t="s">
        <v>1280</v>
      </c>
    </row>
    <row r="11" spans="1:10">
      <c r="A11" s="12" t="s">
        <v>280</v>
      </c>
      <c r="B11" s="12">
        <v>4</v>
      </c>
      <c r="C11" s="12" t="s">
        <v>212</v>
      </c>
      <c r="D11" s="12">
        <v>2023</v>
      </c>
      <c r="E11" s="12" t="s">
        <v>1246</v>
      </c>
      <c r="F11" s="17" t="s">
        <v>1247</v>
      </c>
      <c r="G11" s="12" t="s">
        <v>80</v>
      </c>
      <c r="H11" s="12" t="s">
        <v>1281</v>
      </c>
      <c r="I11" s="17" t="s">
        <v>1282</v>
      </c>
      <c r="J11" s="17" t="s">
        <v>1283</v>
      </c>
    </row>
    <row r="12" spans="1:10">
      <c r="A12" s="12" t="s">
        <v>280</v>
      </c>
      <c r="B12" s="12">
        <v>5</v>
      </c>
      <c r="C12" s="12" t="s">
        <v>212</v>
      </c>
      <c r="D12" s="12">
        <v>2021</v>
      </c>
      <c r="E12" s="12" t="s">
        <v>1254</v>
      </c>
      <c r="F12" s="17" t="s">
        <v>1252</v>
      </c>
      <c r="G12" s="12" t="s">
        <v>80</v>
      </c>
      <c r="H12" s="12" t="s">
        <v>1284</v>
      </c>
      <c r="I12" s="17" t="s">
        <v>1258</v>
      </c>
      <c r="J12" s="17" t="s">
        <v>1259</v>
      </c>
    </row>
    <row r="13" spans="1:10">
      <c r="A13" s="12" t="s">
        <v>280</v>
      </c>
      <c r="B13" s="12">
        <v>6</v>
      </c>
      <c r="C13" s="12" t="s">
        <v>212</v>
      </c>
      <c r="D13" s="12">
        <v>2024</v>
      </c>
      <c r="E13" s="12" t="s">
        <v>1285</v>
      </c>
      <c r="F13" s="17" t="s">
        <v>1029</v>
      </c>
      <c r="G13" s="12" t="s">
        <v>80</v>
      </c>
      <c r="H13" s="12" t="s">
        <v>1286</v>
      </c>
      <c r="I13" s="17" t="s">
        <v>1258</v>
      </c>
      <c r="J13" s="17" t="s">
        <v>1259</v>
      </c>
    </row>
    <row r="14" spans="1:10">
      <c r="A14" s="12" t="s">
        <v>309</v>
      </c>
      <c r="B14" s="12">
        <v>1</v>
      </c>
      <c r="C14" s="12" t="s">
        <v>212</v>
      </c>
      <c r="D14" s="12">
        <v>2019</v>
      </c>
      <c r="E14" s="12" t="s">
        <v>1260</v>
      </c>
      <c r="F14" s="17" t="s">
        <v>1049</v>
      </c>
      <c r="G14" s="12" t="s">
        <v>80</v>
      </c>
      <c r="H14" s="12" t="s">
        <v>1287</v>
      </c>
      <c r="I14" s="17" t="s">
        <v>1266</v>
      </c>
      <c r="J14" s="17" t="s">
        <v>1267</v>
      </c>
    </row>
    <row r="15" spans="1:10">
      <c r="A15" s="12" t="s">
        <v>339</v>
      </c>
      <c r="B15" s="12">
        <v>1</v>
      </c>
      <c r="C15" s="12" t="s">
        <v>212</v>
      </c>
      <c r="D15" s="12">
        <v>2024</v>
      </c>
      <c r="E15" s="12" t="s">
        <v>1288</v>
      </c>
      <c r="F15" s="17" t="s">
        <v>1257</v>
      </c>
      <c r="G15" s="12" t="s">
        <v>80</v>
      </c>
      <c r="H15" s="12" t="s">
        <v>1289</v>
      </c>
      <c r="I15" s="17" t="s">
        <v>1270</v>
      </c>
      <c r="J15" s="17" t="s">
        <v>1271</v>
      </c>
    </row>
    <row r="16" spans="1:10">
      <c r="A16" s="12" t="s">
        <v>369</v>
      </c>
      <c r="B16" s="12">
        <v>1</v>
      </c>
      <c r="C16" s="12" t="s">
        <v>212</v>
      </c>
      <c r="D16" s="12">
        <v>2022</v>
      </c>
      <c r="E16" s="12" t="s">
        <v>1253</v>
      </c>
      <c r="F16" s="17" t="s">
        <v>1056</v>
      </c>
      <c r="G16" s="12" t="s">
        <v>80</v>
      </c>
      <c r="H16" s="12" t="s">
        <v>1290</v>
      </c>
      <c r="I16" s="17" t="s">
        <v>1273</v>
      </c>
      <c r="J16" s="17" t="s">
        <v>1274</v>
      </c>
    </row>
    <row r="17" spans="1:10">
      <c r="A17" s="12"/>
      <c r="B17" s="12"/>
      <c r="C17" s="12"/>
      <c r="D17" s="12"/>
      <c r="E17" s="12"/>
      <c r="F17" s="17"/>
      <c r="G17" s="12"/>
      <c r="H17" s="12"/>
      <c r="I17" s="17"/>
      <c r="J17" s="17"/>
    </row>
    <row r="18" spans="1:10">
      <c r="A18" s="12"/>
      <c r="B18" s="12"/>
      <c r="C18" s="12"/>
      <c r="D18" s="12"/>
      <c r="E18" s="12"/>
      <c r="F18" s="17"/>
      <c r="G18" s="12"/>
      <c r="H18" s="12"/>
      <c r="I18" s="17"/>
      <c r="J18" s="17"/>
    </row>
    <row r="19" spans="1:10">
      <c r="A19" s="12"/>
      <c r="B19" s="12"/>
      <c r="C19" s="12"/>
      <c r="D19" s="12"/>
      <c r="E19" s="12"/>
      <c r="F19" s="17"/>
      <c r="G19" s="12"/>
      <c r="H19" s="12"/>
      <c r="I19" s="17"/>
      <c r="J19" s="17"/>
    </row>
    <row r="20" spans="1:10">
      <c r="A20" s="12"/>
      <c r="B20" s="12"/>
      <c r="C20" s="12"/>
      <c r="D20" s="12"/>
      <c r="E20" s="12"/>
      <c r="F20" s="17"/>
      <c r="G20" s="12"/>
      <c r="H20" s="12"/>
      <c r="I20" s="17"/>
      <c r="J20" s="17"/>
    </row>
    <row r="21" spans="1:10">
      <c r="A21" s="12"/>
      <c r="B21" s="12"/>
      <c r="C21" s="12"/>
      <c r="D21" s="12"/>
      <c r="E21" s="12"/>
      <c r="F21" s="17"/>
      <c r="G21" s="12"/>
      <c r="H21" s="12"/>
      <c r="I21" s="17"/>
      <c r="J21" s="17"/>
    </row>
    <row r="22" spans="1:10">
      <c r="A22" s="12"/>
      <c r="B22" s="12"/>
      <c r="C22" s="12"/>
      <c r="D22" s="12"/>
      <c r="E22" s="12"/>
      <c r="F22" s="17"/>
      <c r="G22" s="12"/>
      <c r="H22" s="12"/>
      <c r="I22" s="17"/>
      <c r="J22" s="17"/>
    </row>
    <row r="23" spans="1:10">
      <c r="A23" s="12"/>
      <c r="B23" s="12"/>
      <c r="C23" s="12"/>
      <c r="D23" s="12"/>
      <c r="E23" s="12"/>
      <c r="F23" s="17"/>
      <c r="G23" s="12"/>
      <c r="H23" s="12"/>
      <c r="I23" s="17"/>
      <c r="J23" s="17"/>
    </row>
    <row r="24" spans="1:10">
      <c r="A24" s="12"/>
      <c r="B24" s="12"/>
      <c r="C24" s="12"/>
      <c r="D24" s="12"/>
      <c r="E24" s="12"/>
      <c r="F24" s="17"/>
      <c r="G24" s="12"/>
      <c r="H24" s="12"/>
      <c r="I24" s="17"/>
      <c r="J24" s="17"/>
    </row>
    <row r="25" spans="1:10">
      <c r="A25" s="12"/>
      <c r="B25" s="12"/>
      <c r="C25" s="12"/>
      <c r="D25" s="12"/>
      <c r="E25" s="12"/>
      <c r="F25" s="17"/>
      <c r="G25" s="12"/>
      <c r="H25" s="12"/>
      <c r="I25" s="17"/>
      <c r="J25" s="17"/>
    </row>
    <row r="26" spans="1:10">
      <c r="A26" s="12"/>
      <c r="B26" s="12"/>
      <c r="C26" s="12"/>
      <c r="D26" s="12"/>
      <c r="E26" s="12"/>
      <c r="F26" s="17"/>
      <c r="G26" s="12"/>
      <c r="H26" s="12"/>
      <c r="I26" s="17"/>
      <c r="J26" s="17"/>
    </row>
    <row r="27" spans="1:10">
      <c r="A27" s="12"/>
      <c r="B27" s="12"/>
      <c r="C27" s="12"/>
      <c r="D27" s="12"/>
      <c r="E27" s="12"/>
      <c r="F27" s="17"/>
      <c r="G27" s="12"/>
      <c r="H27" s="12"/>
      <c r="I27" s="17"/>
      <c r="J27" s="17"/>
    </row>
    <row r="28" spans="1:10">
      <c r="A28" s="12"/>
      <c r="B28" s="12"/>
      <c r="C28" s="12"/>
      <c r="D28" s="12"/>
      <c r="E28" s="12"/>
      <c r="F28" s="17"/>
      <c r="G28" s="12"/>
      <c r="H28" s="12"/>
      <c r="I28" s="17"/>
      <c r="J28" s="17"/>
    </row>
    <row r="29" spans="1:10">
      <c r="A29" s="12"/>
      <c r="B29" s="12"/>
      <c r="C29" s="12"/>
      <c r="D29" s="12"/>
      <c r="E29" s="12"/>
      <c r="F29" s="17"/>
      <c r="G29" s="12"/>
      <c r="H29" s="12"/>
      <c r="I29" s="17"/>
      <c r="J29" s="17"/>
    </row>
    <row r="30" spans="1:10">
      <c r="A30" s="12"/>
      <c r="B30" s="12"/>
      <c r="C30" s="12"/>
      <c r="D30" s="12"/>
      <c r="E30" s="12"/>
      <c r="F30" s="17"/>
      <c r="G30" s="12"/>
      <c r="H30" s="12"/>
      <c r="I30" s="17"/>
      <c r="J30" s="17"/>
    </row>
    <row r="31" spans="1:10">
      <c r="A31" s="12"/>
      <c r="B31" s="12"/>
      <c r="C31" s="12"/>
      <c r="D31" s="12"/>
      <c r="E31" s="12"/>
      <c r="F31" s="17"/>
      <c r="G31" s="12"/>
      <c r="H31" s="12"/>
      <c r="I31" s="17"/>
      <c r="J31" s="17"/>
    </row>
    <row r="32" spans="1:10">
      <c r="A32" s="12"/>
      <c r="B32" s="12"/>
      <c r="C32" s="12"/>
      <c r="D32" s="12"/>
      <c r="E32" s="12"/>
      <c r="F32" s="17"/>
      <c r="G32" s="12"/>
      <c r="H32" s="12"/>
      <c r="I32" s="17"/>
      <c r="J32" s="17"/>
    </row>
    <row r="33" spans="1:10">
      <c r="A33" s="12"/>
      <c r="B33" s="12"/>
      <c r="C33" s="12"/>
      <c r="D33" s="12"/>
      <c r="E33" s="12"/>
      <c r="F33" s="17"/>
      <c r="G33" s="12"/>
      <c r="H33" s="12"/>
      <c r="I33" s="17"/>
      <c r="J33" s="17"/>
    </row>
    <row r="34" spans="1:10">
      <c r="A34" s="12"/>
      <c r="B34" s="12"/>
      <c r="C34" s="12"/>
      <c r="D34" s="12"/>
      <c r="E34" s="12"/>
      <c r="F34" s="17"/>
      <c r="G34" s="12"/>
      <c r="H34" s="12"/>
      <c r="I34" s="17"/>
      <c r="J34" s="17"/>
    </row>
    <row r="35" spans="1:10">
      <c r="A35" s="12"/>
      <c r="B35" s="12"/>
      <c r="C35" s="12"/>
      <c r="D35" s="12"/>
      <c r="E35" s="12"/>
      <c r="F35" s="17"/>
      <c r="G35" s="12"/>
      <c r="H35" s="12"/>
      <c r="I35" s="17"/>
      <c r="J35" s="17"/>
    </row>
    <row r="36" spans="1:10">
      <c r="A36" s="12"/>
      <c r="B36" s="12"/>
      <c r="C36" s="12"/>
      <c r="D36" s="12"/>
      <c r="E36" s="12"/>
      <c r="F36" s="17"/>
      <c r="G36" s="12"/>
      <c r="H36" s="12"/>
      <c r="I36" s="17"/>
      <c r="J36" s="17"/>
    </row>
    <row r="37" spans="1:10">
      <c r="A37" s="12"/>
      <c r="B37" s="12"/>
      <c r="C37" s="12"/>
      <c r="D37" s="12"/>
      <c r="E37" s="12"/>
      <c r="F37" s="17"/>
      <c r="G37" s="12"/>
      <c r="H37" s="12"/>
      <c r="I37" s="17"/>
      <c r="J37" s="17"/>
    </row>
    <row r="38" spans="1:10">
      <c r="A38" s="12"/>
      <c r="B38" s="12"/>
      <c r="C38" s="12"/>
      <c r="D38" s="12"/>
      <c r="E38" s="12"/>
      <c r="F38" s="17"/>
      <c r="G38" s="12"/>
      <c r="H38" s="12"/>
      <c r="I38" s="17"/>
      <c r="J38" s="17"/>
    </row>
    <row r="39" spans="1:10">
      <c r="A39" s="12"/>
      <c r="B39" s="12"/>
      <c r="C39" s="12"/>
      <c r="D39" s="12"/>
      <c r="E39" s="12"/>
      <c r="F39" s="17"/>
      <c r="G39" s="12"/>
      <c r="H39" s="12"/>
      <c r="I39" s="17"/>
      <c r="J39" s="17"/>
    </row>
    <row r="40" spans="1:10">
      <c r="A40" s="12"/>
      <c r="B40" s="12"/>
      <c r="C40" s="12"/>
      <c r="D40" s="12"/>
      <c r="E40" s="12"/>
      <c r="F40" s="17"/>
      <c r="G40" s="12"/>
      <c r="H40" s="12"/>
      <c r="I40" s="17"/>
      <c r="J40" s="17"/>
    </row>
    <row r="41" spans="1:10">
      <c r="A41" s="12"/>
      <c r="B41" s="12"/>
      <c r="C41" s="12"/>
      <c r="D41" s="12"/>
      <c r="E41" s="12"/>
      <c r="F41" s="17"/>
      <c r="G41" s="12"/>
      <c r="H41" s="12"/>
      <c r="I41" s="17"/>
      <c r="J41" s="17"/>
    </row>
    <row r="42" spans="1:10">
      <c r="A42" s="12"/>
      <c r="B42" s="12"/>
      <c r="C42" s="12"/>
      <c r="D42" s="12"/>
      <c r="E42" s="12"/>
      <c r="F42" s="17"/>
      <c r="G42" s="12"/>
      <c r="H42" s="12"/>
      <c r="I42" s="17"/>
      <c r="J42" s="17"/>
    </row>
    <row r="43" spans="1:10">
      <c r="A43" s="12"/>
      <c r="B43" s="12"/>
      <c r="C43" s="12"/>
      <c r="D43" s="12"/>
      <c r="E43" s="12"/>
      <c r="F43" s="17"/>
      <c r="G43" s="12"/>
      <c r="H43" s="12"/>
      <c r="I43" s="17"/>
      <c r="J43" s="17"/>
    </row>
    <row r="44" spans="1:10">
      <c r="A44" s="12"/>
      <c r="B44" s="12"/>
      <c r="C44" s="12"/>
      <c r="D44" s="12"/>
      <c r="E44" s="12"/>
      <c r="F44" s="17"/>
      <c r="G44" s="12"/>
      <c r="H44" s="12"/>
      <c r="I44" s="17"/>
      <c r="J44" s="17"/>
    </row>
    <row r="45" spans="1:10">
      <c r="A45" s="12"/>
      <c r="B45" s="12"/>
      <c r="C45" s="12"/>
      <c r="D45" s="12"/>
      <c r="E45" s="12"/>
      <c r="F45" s="17"/>
      <c r="G45" s="12"/>
      <c r="H45" s="12"/>
      <c r="I45" s="17"/>
      <c r="J45" s="17"/>
    </row>
    <row r="46" spans="1:10">
      <c r="A46" s="12"/>
      <c r="B46" s="12"/>
      <c r="C46" s="12"/>
      <c r="D46" s="12"/>
      <c r="E46" s="12"/>
      <c r="F46" s="17"/>
      <c r="G46" s="12"/>
      <c r="H46" s="12"/>
      <c r="I46" s="17"/>
      <c r="J46" s="17"/>
    </row>
    <row r="47" spans="1:10">
      <c r="A47" s="12"/>
      <c r="B47" s="12"/>
      <c r="C47" s="12"/>
      <c r="D47" s="12"/>
      <c r="E47" s="12"/>
      <c r="F47" s="17"/>
      <c r="G47" s="12"/>
      <c r="H47" s="12"/>
      <c r="I47" s="17"/>
      <c r="J47" s="17"/>
    </row>
    <row r="48" spans="1:10">
      <c r="A48" s="12"/>
      <c r="B48" s="12"/>
      <c r="C48" s="12"/>
      <c r="D48" s="12"/>
      <c r="E48" s="12"/>
      <c r="F48" s="17"/>
      <c r="G48" s="12"/>
      <c r="H48" s="12"/>
      <c r="I48" s="17"/>
      <c r="J48" s="17"/>
    </row>
    <row r="49" spans="1:10">
      <c r="A49" s="12"/>
      <c r="B49" s="12"/>
      <c r="C49" s="12"/>
      <c r="D49" s="12"/>
      <c r="E49" s="12"/>
      <c r="F49" s="17"/>
      <c r="G49" s="12"/>
      <c r="H49" s="12"/>
      <c r="I49" s="17"/>
      <c r="J49" s="17"/>
    </row>
    <row r="50" spans="1:10">
      <c r="A50" s="12"/>
      <c r="B50" s="12"/>
      <c r="C50" s="12"/>
      <c r="D50" s="12"/>
      <c r="E50" s="12"/>
      <c r="F50" s="17"/>
      <c r="G50" s="12"/>
      <c r="H50" s="12"/>
      <c r="I50" s="17"/>
      <c r="J50" s="17"/>
    </row>
    <row r="51" spans="1:10">
      <c r="A51" s="12"/>
      <c r="B51" s="12"/>
      <c r="C51" s="12"/>
      <c r="D51" s="12"/>
      <c r="E51" s="12"/>
      <c r="F51" s="17"/>
      <c r="G51" s="12"/>
      <c r="H51" s="12"/>
      <c r="I51" s="17"/>
      <c r="J51" s="17"/>
    </row>
    <row r="52" spans="1:10">
      <c r="A52" s="12"/>
      <c r="B52" s="12"/>
      <c r="C52" s="12"/>
      <c r="D52" s="12"/>
      <c r="E52" s="12"/>
      <c r="F52" s="17"/>
      <c r="G52" s="12"/>
      <c r="H52" s="12"/>
      <c r="I52" s="17"/>
      <c r="J52" s="17"/>
    </row>
    <row r="53" spans="1:10">
      <c r="A53" s="12"/>
      <c r="B53" s="12"/>
      <c r="C53" s="12"/>
      <c r="D53" s="12"/>
      <c r="E53" s="12"/>
      <c r="F53" s="17"/>
      <c r="G53" s="12"/>
      <c r="H53" s="12"/>
      <c r="I53" s="17"/>
      <c r="J53" s="17"/>
    </row>
    <row r="54" spans="1:10">
      <c r="A54" s="12"/>
      <c r="B54" s="12"/>
      <c r="C54" s="12"/>
      <c r="D54" s="12"/>
      <c r="E54" s="12"/>
      <c r="F54" s="17"/>
      <c r="G54" s="12"/>
      <c r="H54" s="12"/>
      <c r="I54" s="17"/>
      <c r="J54" s="17"/>
    </row>
    <row r="55" spans="1:10">
      <c r="A55" s="12"/>
      <c r="B55" s="12"/>
      <c r="C55" s="12"/>
      <c r="D55" s="12"/>
      <c r="E55" s="12"/>
      <c r="F55" s="17"/>
      <c r="G55" s="12"/>
      <c r="H55" s="12"/>
      <c r="I55" s="17"/>
      <c r="J55" s="17"/>
    </row>
    <row r="56" spans="1:10">
      <c r="A56" s="12"/>
      <c r="B56" s="12"/>
      <c r="C56" s="12"/>
      <c r="D56" s="12"/>
      <c r="E56" s="12"/>
      <c r="F56" s="17"/>
      <c r="G56" s="12"/>
      <c r="H56" s="12"/>
      <c r="I56" s="17"/>
      <c r="J56" s="17"/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554"/>
  <sheetViews>
    <sheetView workbookViewId="0">
      <selection activeCell="A3" sqref="A3:XFD4"/>
    </sheetView>
  </sheetViews>
  <sheetFormatPr defaultRowHeight="14.4"/>
  <cols>
    <col min="1" max="2" width="29" customWidth="1"/>
    <col min="3" max="3" width="19.6640625" customWidth="1"/>
    <col min="4" max="4" width="19.44140625" customWidth="1"/>
    <col min="5" max="5" width="20.44140625" customWidth="1"/>
    <col min="6" max="6" width="25" customWidth="1"/>
    <col min="7" max="7" width="19" customWidth="1"/>
    <col min="8" max="8" width="27.5546875" customWidth="1"/>
    <col min="9" max="9" width="22.44140625" customWidth="1"/>
    <col min="10" max="10" width="42.109375" customWidth="1"/>
    <col min="11" max="24" width="13.5546875" customWidth="1"/>
  </cols>
  <sheetData>
    <row r="1" spans="1:10">
      <c r="A1" s="13" t="s">
        <v>0</v>
      </c>
      <c r="B1" s="13" t="s">
        <v>1125</v>
      </c>
      <c r="C1" s="13" t="s">
        <v>1291</v>
      </c>
      <c r="D1" s="13" t="s">
        <v>1292</v>
      </c>
      <c r="E1" s="13" t="s">
        <v>1293</v>
      </c>
      <c r="F1" s="13" t="s">
        <v>1294</v>
      </c>
      <c r="G1" s="13" t="s">
        <v>1295</v>
      </c>
      <c r="H1" s="13" t="s">
        <v>1243</v>
      </c>
      <c r="I1" s="13" t="s">
        <v>1244</v>
      </c>
      <c r="J1" s="18" t="s">
        <v>409</v>
      </c>
    </row>
    <row r="2" spans="1:10">
      <c r="A2" s="17" t="s">
        <v>78</v>
      </c>
      <c r="B2" s="17">
        <v>1</v>
      </c>
      <c r="C2" s="17" t="s">
        <v>80</v>
      </c>
      <c r="D2" s="17" t="s">
        <v>1296</v>
      </c>
      <c r="E2" s="17">
        <v>2022</v>
      </c>
      <c r="F2" s="17" t="s">
        <v>1297</v>
      </c>
      <c r="G2" s="17" t="s">
        <v>1298</v>
      </c>
      <c r="H2" s="17" t="s">
        <v>80</v>
      </c>
      <c r="I2" s="17" t="s">
        <v>1299</v>
      </c>
      <c r="J2" s="17" t="s">
        <v>1300</v>
      </c>
    </row>
    <row r="3" spans="1:10">
      <c r="A3" s="17" t="s">
        <v>116</v>
      </c>
      <c r="B3" s="17">
        <v>1</v>
      </c>
      <c r="C3" s="17" t="s">
        <v>80</v>
      </c>
      <c r="D3" s="17" t="s">
        <v>1301</v>
      </c>
      <c r="E3" s="17">
        <v>2021</v>
      </c>
      <c r="F3" s="17" t="s">
        <v>1302</v>
      </c>
      <c r="G3" s="17" t="s">
        <v>1303</v>
      </c>
      <c r="H3" s="17" t="s">
        <v>80</v>
      </c>
      <c r="I3" s="17" t="s">
        <v>1305</v>
      </c>
      <c r="J3" s="17" t="s">
        <v>1304</v>
      </c>
    </row>
    <row r="4" spans="1:10">
      <c r="A4" s="17" t="s">
        <v>116</v>
      </c>
      <c r="B4" s="17">
        <v>2</v>
      </c>
      <c r="C4" s="17" t="s">
        <v>80</v>
      </c>
      <c r="D4" s="17" t="s">
        <v>1306</v>
      </c>
      <c r="E4" s="17">
        <v>2021</v>
      </c>
      <c r="F4" s="17" t="s">
        <v>1302</v>
      </c>
      <c r="G4" s="17" t="s">
        <v>1303</v>
      </c>
      <c r="H4" s="17" t="s">
        <v>80</v>
      </c>
      <c r="I4" s="17" t="s">
        <v>1307</v>
      </c>
      <c r="J4" s="17" t="s">
        <v>1304</v>
      </c>
    </row>
    <row r="5" spans="1:10">
      <c r="A5" s="17" t="s">
        <v>116</v>
      </c>
      <c r="B5" s="17">
        <v>3</v>
      </c>
      <c r="C5" s="17" t="s">
        <v>81</v>
      </c>
      <c r="D5" s="17" t="s">
        <v>1308</v>
      </c>
      <c r="E5" s="17">
        <v>2019</v>
      </c>
      <c r="F5" s="17" t="s">
        <v>1309</v>
      </c>
      <c r="G5" s="17" t="s">
        <v>1310</v>
      </c>
      <c r="H5" s="17" t="s">
        <v>81</v>
      </c>
      <c r="I5" s="17"/>
      <c r="J5" s="17" t="s">
        <v>1311</v>
      </c>
    </row>
    <row r="6" spans="1:10">
      <c r="A6" s="17" t="s">
        <v>116</v>
      </c>
      <c r="B6" s="17">
        <v>4</v>
      </c>
      <c r="C6" s="17" t="s">
        <v>80</v>
      </c>
      <c r="D6" s="17" t="s">
        <v>1308</v>
      </c>
      <c r="E6" s="17">
        <v>2020</v>
      </c>
      <c r="F6" s="17" t="s">
        <v>1312</v>
      </c>
      <c r="G6" s="17" t="s">
        <v>1313</v>
      </c>
      <c r="H6" s="17" t="s">
        <v>80</v>
      </c>
      <c r="I6" s="17" t="s">
        <v>1314</v>
      </c>
      <c r="J6" s="17" t="s">
        <v>1315</v>
      </c>
    </row>
    <row r="7" spans="1:10">
      <c r="A7" s="17" t="s">
        <v>116</v>
      </c>
      <c r="B7" s="17">
        <v>5</v>
      </c>
      <c r="C7" s="17" t="s">
        <v>80</v>
      </c>
      <c r="D7" s="17" t="s">
        <v>1086</v>
      </c>
      <c r="E7" s="17">
        <v>2018</v>
      </c>
      <c r="F7" s="17" t="s">
        <v>1316</v>
      </c>
      <c r="G7" s="17" t="s">
        <v>1317</v>
      </c>
      <c r="H7" s="17" t="s">
        <v>80</v>
      </c>
      <c r="I7" s="17" t="s">
        <v>1318</v>
      </c>
      <c r="J7" s="17" t="s">
        <v>1319</v>
      </c>
    </row>
    <row r="8" spans="1:10">
      <c r="A8" s="17" t="s">
        <v>116</v>
      </c>
      <c r="B8" s="17">
        <v>6</v>
      </c>
      <c r="C8" s="17" t="s">
        <v>80</v>
      </c>
      <c r="D8" s="17" t="s">
        <v>1306</v>
      </c>
      <c r="E8" s="17">
        <v>2023</v>
      </c>
      <c r="F8" s="17" t="s">
        <v>1320</v>
      </c>
      <c r="G8" s="17" t="s">
        <v>1321</v>
      </c>
      <c r="H8" s="17" t="s">
        <v>80</v>
      </c>
      <c r="I8" s="17" t="s">
        <v>1322</v>
      </c>
      <c r="J8" s="17" t="s">
        <v>1323</v>
      </c>
    </row>
    <row r="9" spans="1:10">
      <c r="A9" s="17" t="s">
        <v>116</v>
      </c>
      <c r="B9" s="17">
        <v>7</v>
      </c>
      <c r="C9" s="17" t="s">
        <v>81</v>
      </c>
      <c r="D9" s="17" t="s">
        <v>1301</v>
      </c>
      <c r="E9" s="17">
        <v>2020</v>
      </c>
      <c r="F9" s="17" t="s">
        <v>1324</v>
      </c>
      <c r="G9" s="17" t="s">
        <v>1325</v>
      </c>
      <c r="H9" s="17" t="s">
        <v>80</v>
      </c>
      <c r="I9" s="17" t="s">
        <v>1326</v>
      </c>
      <c r="J9" s="17" t="s">
        <v>1327</v>
      </c>
    </row>
    <row r="10" spans="1:10">
      <c r="A10" s="17" t="s">
        <v>151</v>
      </c>
      <c r="B10" s="17">
        <v>1</v>
      </c>
      <c r="C10" s="17" t="s">
        <v>81</v>
      </c>
      <c r="D10" s="17" t="s">
        <v>1296</v>
      </c>
      <c r="E10" s="17">
        <v>2019</v>
      </c>
      <c r="F10" s="17" t="s">
        <v>1309</v>
      </c>
      <c r="G10" s="17" t="s">
        <v>1310</v>
      </c>
      <c r="H10" s="17" t="s">
        <v>81</v>
      </c>
      <c r="I10" s="17"/>
      <c r="J10" s="17" t="s">
        <v>1311</v>
      </c>
    </row>
    <row r="11" spans="1:10">
      <c r="A11" s="17" t="s">
        <v>151</v>
      </c>
      <c r="B11" s="17">
        <v>2</v>
      </c>
      <c r="C11" s="17" t="s">
        <v>80</v>
      </c>
      <c r="D11" s="17" t="s">
        <v>1306</v>
      </c>
      <c r="E11" s="17">
        <v>2020</v>
      </c>
      <c r="F11" s="17" t="s">
        <v>1312</v>
      </c>
      <c r="G11" s="17" t="s">
        <v>1313</v>
      </c>
      <c r="H11" s="17" t="s">
        <v>80</v>
      </c>
      <c r="I11" s="17" t="s">
        <v>1328</v>
      </c>
      <c r="J11" s="17" t="s">
        <v>1315</v>
      </c>
    </row>
    <row r="12" spans="1:10">
      <c r="A12" s="17" t="s">
        <v>188</v>
      </c>
      <c r="B12" s="17">
        <v>1</v>
      </c>
      <c r="C12" s="17" t="s">
        <v>80</v>
      </c>
      <c r="D12" s="17" t="s">
        <v>1306</v>
      </c>
      <c r="E12" s="17">
        <v>2020</v>
      </c>
      <c r="F12" s="17" t="s">
        <v>1312</v>
      </c>
      <c r="G12" s="17" t="s">
        <v>1313</v>
      </c>
      <c r="H12" s="17" t="s">
        <v>80</v>
      </c>
      <c r="I12" s="17" t="s">
        <v>1329</v>
      </c>
      <c r="J12" s="17" t="s">
        <v>1315</v>
      </c>
    </row>
    <row r="13" spans="1:10">
      <c r="A13" s="17" t="s">
        <v>188</v>
      </c>
      <c r="B13" s="17">
        <v>2</v>
      </c>
      <c r="C13" s="17" t="s">
        <v>80</v>
      </c>
      <c r="D13" s="17" t="s">
        <v>1308</v>
      </c>
      <c r="E13" s="17">
        <v>2020</v>
      </c>
      <c r="F13" s="17" t="s">
        <v>1312</v>
      </c>
      <c r="G13" s="17" t="s">
        <v>1313</v>
      </c>
      <c r="H13" s="17" t="s">
        <v>80</v>
      </c>
      <c r="I13" s="17" t="s">
        <v>1328</v>
      </c>
      <c r="J13" s="17" t="s">
        <v>1315</v>
      </c>
    </row>
    <row r="14" spans="1:10">
      <c r="A14" s="17" t="s">
        <v>188</v>
      </c>
      <c r="B14" s="17">
        <v>3</v>
      </c>
      <c r="C14" s="17" t="s">
        <v>80</v>
      </c>
      <c r="D14" s="17" t="s">
        <v>1330</v>
      </c>
      <c r="E14" s="17">
        <v>2018</v>
      </c>
      <c r="F14" s="17" t="s">
        <v>1316</v>
      </c>
      <c r="G14" s="17" t="s">
        <v>1317</v>
      </c>
      <c r="H14" s="17" t="s">
        <v>80</v>
      </c>
      <c r="I14" s="17" t="s">
        <v>1331</v>
      </c>
      <c r="J14" s="17" t="s">
        <v>1319</v>
      </c>
    </row>
    <row r="15" spans="1:10">
      <c r="A15" s="17" t="s">
        <v>188</v>
      </c>
      <c r="B15" s="17">
        <v>4</v>
      </c>
      <c r="C15" s="17" t="s">
        <v>80</v>
      </c>
      <c r="D15" s="17" t="s">
        <v>1086</v>
      </c>
      <c r="E15" s="17">
        <v>2023</v>
      </c>
      <c r="F15" s="17" t="s">
        <v>1320</v>
      </c>
      <c r="G15" s="17" t="s">
        <v>1321</v>
      </c>
      <c r="H15" s="17" t="s">
        <v>80</v>
      </c>
      <c r="I15" s="17" t="s">
        <v>1332</v>
      </c>
      <c r="J15" s="17" t="s">
        <v>1323</v>
      </c>
    </row>
    <row r="16" spans="1:10">
      <c r="A16" s="17" t="s">
        <v>188</v>
      </c>
      <c r="B16" s="17">
        <v>5</v>
      </c>
      <c r="C16" s="17" t="s">
        <v>81</v>
      </c>
      <c r="D16" s="17" t="s">
        <v>1301</v>
      </c>
      <c r="E16" s="17">
        <v>2020</v>
      </c>
      <c r="F16" s="17" t="s">
        <v>1324</v>
      </c>
      <c r="G16" s="17" t="s">
        <v>1325</v>
      </c>
      <c r="H16" s="17" t="s">
        <v>80</v>
      </c>
      <c r="I16" s="17" t="s">
        <v>1333</v>
      </c>
      <c r="J16" s="17" t="s">
        <v>1327</v>
      </c>
    </row>
    <row r="17" spans="1:10">
      <c r="A17" s="17" t="s">
        <v>217</v>
      </c>
      <c r="B17" s="17">
        <v>1</v>
      </c>
      <c r="C17" s="17" t="s">
        <v>80</v>
      </c>
      <c r="D17" s="17" t="s">
        <v>1306</v>
      </c>
      <c r="E17" s="17">
        <v>2018</v>
      </c>
      <c r="F17" s="17" t="s">
        <v>1316</v>
      </c>
      <c r="G17" s="17" t="s">
        <v>1317</v>
      </c>
      <c r="H17" s="17" t="s">
        <v>80</v>
      </c>
      <c r="I17" s="17" t="s">
        <v>1334</v>
      </c>
      <c r="J17" s="17" t="s">
        <v>1319</v>
      </c>
    </row>
    <row r="18" spans="1:10">
      <c r="A18" s="17" t="s">
        <v>217</v>
      </c>
      <c r="B18" s="17">
        <v>2</v>
      </c>
      <c r="C18" s="17" t="s">
        <v>80</v>
      </c>
      <c r="D18" s="17" t="s">
        <v>1296</v>
      </c>
      <c r="E18" s="17">
        <v>2018</v>
      </c>
      <c r="F18" s="17" t="s">
        <v>1316</v>
      </c>
      <c r="G18" s="17" t="s">
        <v>1317</v>
      </c>
      <c r="H18" s="17" t="s">
        <v>80</v>
      </c>
      <c r="I18" s="17" t="s">
        <v>1335</v>
      </c>
      <c r="J18" s="17" t="s">
        <v>1319</v>
      </c>
    </row>
    <row r="19" spans="1:10">
      <c r="A19" s="17" t="s">
        <v>217</v>
      </c>
      <c r="B19" s="17">
        <v>3</v>
      </c>
      <c r="C19" s="17" t="s">
        <v>80</v>
      </c>
      <c r="D19" s="17" t="s">
        <v>1301</v>
      </c>
      <c r="E19" s="17">
        <v>2023</v>
      </c>
      <c r="F19" s="17" t="s">
        <v>1320</v>
      </c>
      <c r="G19" s="17" t="s">
        <v>1321</v>
      </c>
      <c r="H19" s="17" t="s">
        <v>80</v>
      </c>
      <c r="I19" s="17" t="s">
        <v>1336</v>
      </c>
      <c r="J19" s="17" t="s">
        <v>1323</v>
      </c>
    </row>
    <row r="20" spans="1:10">
      <c r="A20" s="17" t="s">
        <v>217</v>
      </c>
      <c r="B20" s="17">
        <v>4</v>
      </c>
      <c r="C20" s="17" t="s">
        <v>81</v>
      </c>
      <c r="D20" s="17" t="s">
        <v>1330</v>
      </c>
      <c r="E20" s="17">
        <v>2020</v>
      </c>
      <c r="F20" s="17" t="s">
        <v>1324</v>
      </c>
      <c r="G20" s="17" t="s">
        <v>1325</v>
      </c>
      <c r="H20" s="17" t="s">
        <v>80</v>
      </c>
      <c r="I20" s="17" t="s">
        <v>1337</v>
      </c>
      <c r="J20" s="17" t="s">
        <v>1327</v>
      </c>
    </row>
    <row r="21" spans="1:10">
      <c r="A21" s="17" t="s">
        <v>217</v>
      </c>
      <c r="B21" s="17">
        <v>5</v>
      </c>
      <c r="C21" s="17" t="s">
        <v>80</v>
      </c>
      <c r="D21" s="17" t="s">
        <v>1338</v>
      </c>
      <c r="E21" s="17">
        <v>2024</v>
      </c>
      <c r="F21" s="17" t="s">
        <v>1339</v>
      </c>
      <c r="G21" s="17" t="s">
        <v>1340</v>
      </c>
      <c r="H21" s="17" t="s">
        <v>81</v>
      </c>
      <c r="I21" s="17"/>
      <c r="J21" s="17" t="s">
        <v>1341</v>
      </c>
    </row>
    <row r="22" spans="1:10">
      <c r="A22" s="17" t="s">
        <v>217</v>
      </c>
      <c r="B22" s="17">
        <v>6</v>
      </c>
      <c r="C22" s="17" t="s">
        <v>80</v>
      </c>
      <c r="D22" s="17" t="s">
        <v>1086</v>
      </c>
      <c r="E22" s="17">
        <v>2021</v>
      </c>
      <c r="F22" s="17" t="s">
        <v>1342</v>
      </c>
      <c r="G22" s="17" t="s">
        <v>1343</v>
      </c>
      <c r="H22" s="17" t="s">
        <v>80</v>
      </c>
      <c r="I22" s="17" t="s">
        <v>1344</v>
      </c>
      <c r="J22" s="17" t="s">
        <v>1345</v>
      </c>
    </row>
    <row r="23" spans="1:10">
      <c r="A23" s="17" t="s">
        <v>217</v>
      </c>
      <c r="B23" s="17">
        <v>7</v>
      </c>
      <c r="C23" s="17" t="s">
        <v>80</v>
      </c>
      <c r="D23" s="17" t="s">
        <v>1296</v>
      </c>
      <c r="E23" s="17">
        <v>2017</v>
      </c>
      <c r="F23" s="17" t="s">
        <v>1346</v>
      </c>
      <c r="G23" s="17" t="s">
        <v>1347</v>
      </c>
      <c r="H23" s="17" t="s">
        <v>80</v>
      </c>
      <c r="I23" s="17" t="s">
        <v>1348</v>
      </c>
      <c r="J23" s="17" t="s">
        <v>1349</v>
      </c>
    </row>
    <row r="24" spans="1:10">
      <c r="A24" s="17" t="s">
        <v>251</v>
      </c>
      <c r="B24" s="17">
        <v>1</v>
      </c>
      <c r="C24" s="17" t="s">
        <v>80</v>
      </c>
      <c r="D24" s="17" t="s">
        <v>1338</v>
      </c>
      <c r="E24" s="17">
        <v>2023</v>
      </c>
      <c r="F24" s="17" t="s">
        <v>1320</v>
      </c>
      <c r="G24" s="17" t="s">
        <v>1321</v>
      </c>
      <c r="H24" s="17" t="s">
        <v>80</v>
      </c>
      <c r="I24" s="17" t="s">
        <v>1350</v>
      </c>
      <c r="J24" s="17" t="s">
        <v>1323</v>
      </c>
    </row>
    <row r="25" spans="1:10">
      <c r="A25" s="17" t="s">
        <v>251</v>
      </c>
      <c r="B25" s="17">
        <v>2</v>
      </c>
      <c r="C25" s="17" t="s">
        <v>80</v>
      </c>
      <c r="D25" s="17" t="s">
        <v>1306</v>
      </c>
      <c r="E25" s="17">
        <v>2023</v>
      </c>
      <c r="F25" s="17" t="s">
        <v>1320</v>
      </c>
      <c r="G25" s="17" t="s">
        <v>1321</v>
      </c>
      <c r="H25" s="17" t="s">
        <v>80</v>
      </c>
      <c r="I25" s="17" t="s">
        <v>1351</v>
      </c>
      <c r="J25" s="17" t="s">
        <v>1323</v>
      </c>
    </row>
    <row r="26" spans="1:10">
      <c r="A26" s="17" t="s">
        <v>280</v>
      </c>
      <c r="B26" s="17">
        <v>1</v>
      </c>
      <c r="C26" s="17" t="s">
        <v>81</v>
      </c>
      <c r="D26" s="17" t="s">
        <v>1306</v>
      </c>
      <c r="E26" s="17">
        <v>2020</v>
      </c>
      <c r="F26" s="17" t="s">
        <v>1324</v>
      </c>
      <c r="G26" s="17" t="s">
        <v>1325</v>
      </c>
      <c r="H26" s="17" t="s">
        <v>80</v>
      </c>
      <c r="I26" s="17" t="s">
        <v>1352</v>
      </c>
      <c r="J26" s="17" t="s">
        <v>1327</v>
      </c>
    </row>
    <row r="27" spans="1:10">
      <c r="A27" s="17" t="s">
        <v>280</v>
      </c>
      <c r="B27" s="17">
        <v>2</v>
      </c>
      <c r="C27" s="17" t="s">
        <v>81</v>
      </c>
      <c r="D27" s="17" t="s">
        <v>1296</v>
      </c>
      <c r="E27" s="17">
        <v>2020</v>
      </c>
      <c r="F27" s="17" t="s">
        <v>1324</v>
      </c>
      <c r="G27" s="17" t="s">
        <v>1325</v>
      </c>
      <c r="H27" s="17" t="s">
        <v>80</v>
      </c>
      <c r="I27" s="17" t="s">
        <v>1353</v>
      </c>
      <c r="J27" s="17" t="s">
        <v>1327</v>
      </c>
    </row>
    <row r="28" spans="1:10">
      <c r="A28" s="17" t="s">
        <v>280</v>
      </c>
      <c r="B28" s="17">
        <v>3</v>
      </c>
      <c r="C28" s="17" t="s">
        <v>80</v>
      </c>
      <c r="D28" s="17" t="s">
        <v>1308</v>
      </c>
      <c r="E28" s="17">
        <v>2024</v>
      </c>
      <c r="F28" s="17" t="s">
        <v>1339</v>
      </c>
      <c r="G28" s="17" t="s">
        <v>1340</v>
      </c>
      <c r="H28" s="17" t="s">
        <v>81</v>
      </c>
      <c r="I28" s="17"/>
      <c r="J28" s="17" t="s">
        <v>1341</v>
      </c>
    </row>
    <row r="29" spans="1:10">
      <c r="A29" s="17" t="s">
        <v>309</v>
      </c>
      <c r="B29" s="17">
        <v>1</v>
      </c>
      <c r="C29" s="17" t="s">
        <v>80</v>
      </c>
      <c r="D29" s="17" t="s">
        <v>1306</v>
      </c>
      <c r="E29" s="17">
        <v>2024</v>
      </c>
      <c r="F29" s="17" t="s">
        <v>1339</v>
      </c>
      <c r="G29" s="17" t="s">
        <v>1340</v>
      </c>
      <c r="H29" s="17" t="s">
        <v>81</v>
      </c>
      <c r="I29" s="17"/>
      <c r="J29" s="17" t="s">
        <v>1341</v>
      </c>
    </row>
    <row r="30" spans="1:10">
      <c r="A30" s="17" t="s">
        <v>309</v>
      </c>
      <c r="B30" s="17">
        <v>2</v>
      </c>
      <c r="C30" s="17" t="s">
        <v>80</v>
      </c>
      <c r="D30" s="17" t="s">
        <v>1086</v>
      </c>
      <c r="E30" s="17">
        <v>2021</v>
      </c>
      <c r="F30" s="17" t="s">
        <v>1342</v>
      </c>
      <c r="G30" s="17" t="s">
        <v>1343</v>
      </c>
      <c r="H30" s="17" t="s">
        <v>80</v>
      </c>
      <c r="I30" s="17" t="s">
        <v>1354</v>
      </c>
      <c r="J30" s="17" t="s">
        <v>1345</v>
      </c>
    </row>
    <row r="31" spans="1:10">
      <c r="A31" s="17" t="s">
        <v>309</v>
      </c>
      <c r="B31" s="17">
        <v>3</v>
      </c>
      <c r="C31" s="17" t="s">
        <v>80</v>
      </c>
      <c r="D31" s="17" t="s">
        <v>1338</v>
      </c>
      <c r="E31" s="17">
        <v>2017</v>
      </c>
      <c r="F31" s="17" t="s">
        <v>1346</v>
      </c>
      <c r="G31" s="17" t="s">
        <v>1347</v>
      </c>
      <c r="H31" s="17" t="s">
        <v>80</v>
      </c>
      <c r="I31" s="17" t="s">
        <v>1355</v>
      </c>
      <c r="J31" s="17" t="s">
        <v>1349</v>
      </c>
    </row>
    <row r="32" spans="1:10">
      <c r="A32" s="17" t="s">
        <v>309</v>
      </c>
      <c r="B32" s="17">
        <v>4</v>
      </c>
      <c r="C32" s="17" t="s">
        <v>81</v>
      </c>
      <c r="D32" s="17" t="s">
        <v>1330</v>
      </c>
      <c r="E32" s="17">
        <v>2022</v>
      </c>
      <c r="F32" s="17" t="s">
        <v>1356</v>
      </c>
      <c r="G32" s="17" t="s">
        <v>1357</v>
      </c>
      <c r="H32" s="17" t="s">
        <v>80</v>
      </c>
      <c r="I32" s="17" t="s">
        <v>1358</v>
      </c>
      <c r="J32" s="17" t="s">
        <v>1359</v>
      </c>
    </row>
    <row r="33" spans="1:10">
      <c r="A33" s="17" t="s">
        <v>309</v>
      </c>
      <c r="B33" s="17">
        <v>5</v>
      </c>
      <c r="C33" s="17" t="s">
        <v>80</v>
      </c>
      <c r="D33" s="17" t="s">
        <v>1308</v>
      </c>
      <c r="E33" s="17">
        <v>2020</v>
      </c>
      <c r="F33" s="17" t="s">
        <v>1360</v>
      </c>
      <c r="G33" s="17" t="s">
        <v>1361</v>
      </c>
      <c r="H33" s="17" t="s">
        <v>80</v>
      </c>
      <c r="I33" s="17" t="s">
        <v>1362</v>
      </c>
      <c r="J33" s="17" t="s">
        <v>1363</v>
      </c>
    </row>
    <row r="34" spans="1:10">
      <c r="A34" s="17" t="s">
        <v>309</v>
      </c>
      <c r="B34" s="17">
        <v>6</v>
      </c>
      <c r="C34" s="17" t="s">
        <v>80</v>
      </c>
      <c r="D34" s="17" t="s">
        <v>1338</v>
      </c>
      <c r="E34" s="17">
        <v>2019</v>
      </c>
      <c r="F34" s="17" t="s">
        <v>1364</v>
      </c>
      <c r="G34" s="17" t="s">
        <v>1365</v>
      </c>
      <c r="H34" s="17" t="s">
        <v>80</v>
      </c>
      <c r="I34" s="17" t="s">
        <v>1366</v>
      </c>
      <c r="J34" s="17" t="s">
        <v>1367</v>
      </c>
    </row>
    <row r="35" spans="1:10">
      <c r="A35" s="17" t="s">
        <v>309</v>
      </c>
      <c r="B35" s="17">
        <v>7</v>
      </c>
      <c r="C35" s="17" t="s">
        <v>80</v>
      </c>
      <c r="D35" s="17" t="s">
        <v>1296</v>
      </c>
      <c r="E35" s="17">
        <v>2021</v>
      </c>
      <c r="F35" s="17" t="s">
        <v>1342</v>
      </c>
      <c r="G35" s="17" t="s">
        <v>1343</v>
      </c>
      <c r="H35" s="17" t="s">
        <v>80</v>
      </c>
      <c r="I35" s="17" t="s">
        <v>1368</v>
      </c>
      <c r="J35" s="17" t="s">
        <v>1345</v>
      </c>
    </row>
    <row r="36" spans="1:10">
      <c r="A36" s="17" t="s">
        <v>309</v>
      </c>
      <c r="B36" s="17">
        <v>8</v>
      </c>
      <c r="C36" s="17" t="s">
        <v>80</v>
      </c>
      <c r="D36" s="17" t="s">
        <v>1306</v>
      </c>
      <c r="E36" s="17">
        <v>2021</v>
      </c>
      <c r="F36" s="17" t="s">
        <v>1342</v>
      </c>
      <c r="G36" s="17" t="s">
        <v>1343</v>
      </c>
      <c r="H36" s="17" t="s">
        <v>80</v>
      </c>
      <c r="I36" s="17" t="s">
        <v>1354</v>
      </c>
      <c r="J36" s="17" t="s">
        <v>1345</v>
      </c>
    </row>
    <row r="37" spans="1:10">
      <c r="A37" s="17" t="s">
        <v>309</v>
      </c>
      <c r="B37" s="17">
        <v>9</v>
      </c>
      <c r="C37" s="17" t="s">
        <v>80</v>
      </c>
      <c r="D37" s="17" t="s">
        <v>1086</v>
      </c>
      <c r="E37" s="17">
        <v>2017</v>
      </c>
      <c r="F37" s="17" t="s">
        <v>1346</v>
      </c>
      <c r="G37" s="17" t="s">
        <v>1347</v>
      </c>
      <c r="H37" s="17" t="s">
        <v>80</v>
      </c>
      <c r="I37" s="17" t="s">
        <v>1355</v>
      </c>
      <c r="J37" s="17" t="s">
        <v>1349</v>
      </c>
    </row>
    <row r="38" spans="1:10">
      <c r="A38" s="17" t="s">
        <v>309</v>
      </c>
      <c r="B38" s="17">
        <v>10</v>
      </c>
      <c r="C38" s="17" t="s">
        <v>81</v>
      </c>
      <c r="D38" s="17" t="s">
        <v>1086</v>
      </c>
      <c r="E38" s="17">
        <v>2022</v>
      </c>
      <c r="F38" s="17" t="s">
        <v>1356</v>
      </c>
      <c r="G38" s="17" t="s">
        <v>1357</v>
      </c>
      <c r="H38" s="17" t="s">
        <v>80</v>
      </c>
      <c r="I38" s="17" t="s">
        <v>1358</v>
      </c>
      <c r="J38" s="17" t="s">
        <v>1359</v>
      </c>
    </row>
    <row r="39" spans="1:10">
      <c r="A39" s="17" t="s">
        <v>339</v>
      </c>
      <c r="B39" s="17">
        <v>1</v>
      </c>
      <c r="C39" s="17" t="s">
        <v>80</v>
      </c>
      <c r="D39" s="17" t="s">
        <v>1306</v>
      </c>
      <c r="E39" s="17">
        <v>2020</v>
      </c>
      <c r="F39" s="17" t="s">
        <v>1360</v>
      </c>
      <c r="G39" s="17" t="s">
        <v>1361</v>
      </c>
      <c r="H39" s="17" t="s">
        <v>80</v>
      </c>
      <c r="I39" s="17" t="s">
        <v>1362</v>
      </c>
      <c r="J39" s="17" t="s">
        <v>1363</v>
      </c>
    </row>
    <row r="40" spans="1:10">
      <c r="A40" s="17" t="s">
        <v>339</v>
      </c>
      <c r="B40" s="17">
        <v>2</v>
      </c>
      <c r="C40" s="17" t="s">
        <v>80</v>
      </c>
      <c r="D40" s="17" t="s">
        <v>1338</v>
      </c>
      <c r="E40" s="17">
        <v>2019</v>
      </c>
      <c r="F40" s="17" t="s">
        <v>1364</v>
      </c>
      <c r="G40" s="17" t="s">
        <v>1365</v>
      </c>
      <c r="H40" s="17" t="s">
        <v>80</v>
      </c>
      <c r="I40" s="17" t="s">
        <v>1366</v>
      </c>
      <c r="J40" s="17" t="s">
        <v>1367</v>
      </c>
    </row>
    <row r="41" spans="1:10">
      <c r="A41" s="17" t="s">
        <v>339</v>
      </c>
      <c r="B41" s="17">
        <v>3</v>
      </c>
      <c r="C41" s="17" t="s">
        <v>81</v>
      </c>
      <c r="D41" s="17" t="s">
        <v>1086</v>
      </c>
      <c r="E41" s="17">
        <v>2023</v>
      </c>
      <c r="F41" s="17" t="s">
        <v>1369</v>
      </c>
      <c r="G41" s="17" t="s">
        <v>1370</v>
      </c>
      <c r="H41" s="17" t="s">
        <v>80</v>
      </c>
      <c r="I41" s="17" t="s">
        <v>1371</v>
      </c>
      <c r="J41" s="17" t="s">
        <v>1372</v>
      </c>
    </row>
    <row r="42" spans="1:10">
      <c r="A42" s="17" t="s">
        <v>369</v>
      </c>
      <c r="B42" s="17">
        <v>1</v>
      </c>
      <c r="C42" s="17" t="s">
        <v>80</v>
      </c>
      <c r="D42" s="17" t="s">
        <v>1301</v>
      </c>
      <c r="E42" s="17">
        <v>2017</v>
      </c>
      <c r="F42" s="17" t="s">
        <v>1346</v>
      </c>
      <c r="G42" s="17" t="s">
        <v>1347</v>
      </c>
      <c r="H42" s="17" t="s">
        <v>80</v>
      </c>
      <c r="I42" s="17" t="s">
        <v>1373</v>
      </c>
      <c r="J42" s="17" t="s">
        <v>1349</v>
      </c>
    </row>
    <row r="43" spans="1:10">
      <c r="A43" s="17" t="s">
        <v>369</v>
      </c>
      <c r="B43" s="17">
        <v>2</v>
      </c>
      <c r="C43" s="17" t="s">
        <v>80</v>
      </c>
      <c r="D43" s="17" t="s">
        <v>1330</v>
      </c>
      <c r="E43" s="17">
        <v>2017</v>
      </c>
      <c r="F43" s="17" t="s">
        <v>1346</v>
      </c>
      <c r="G43" s="17" t="s">
        <v>1347</v>
      </c>
      <c r="H43" s="17" t="s">
        <v>80</v>
      </c>
      <c r="I43" s="17" t="s">
        <v>1374</v>
      </c>
      <c r="J43" s="17" t="s">
        <v>1349</v>
      </c>
    </row>
    <row r="44" spans="1:10">
      <c r="A44" s="17" t="s">
        <v>369</v>
      </c>
      <c r="B44" s="17">
        <v>3</v>
      </c>
      <c r="C44" s="17" t="s">
        <v>81</v>
      </c>
      <c r="D44" s="17" t="s">
        <v>1338</v>
      </c>
      <c r="E44" s="17">
        <v>2022</v>
      </c>
      <c r="F44" s="17" t="s">
        <v>1356</v>
      </c>
      <c r="G44" s="17" t="s">
        <v>1357</v>
      </c>
      <c r="H44" s="17" t="s">
        <v>80</v>
      </c>
      <c r="I44" s="17" t="s">
        <v>1375</v>
      </c>
      <c r="J44" s="17" t="s">
        <v>1359</v>
      </c>
    </row>
    <row r="45" spans="1:10">
      <c r="A45" s="17" t="s">
        <v>369</v>
      </c>
      <c r="B45" s="17">
        <v>4</v>
      </c>
      <c r="C45" s="17" t="s">
        <v>80</v>
      </c>
      <c r="D45" s="17" t="s">
        <v>1338</v>
      </c>
      <c r="E45" s="17">
        <v>2020</v>
      </c>
      <c r="F45" s="17" t="s">
        <v>1360</v>
      </c>
      <c r="G45" s="17" t="s">
        <v>1361</v>
      </c>
      <c r="H45" s="17" t="s">
        <v>80</v>
      </c>
      <c r="I45" s="17" t="s">
        <v>1376</v>
      </c>
      <c r="J45" s="17" t="s">
        <v>1363</v>
      </c>
    </row>
    <row r="46" spans="1:10">
      <c r="A46" s="17" t="s">
        <v>369</v>
      </c>
      <c r="B46" s="17">
        <v>5</v>
      </c>
      <c r="C46" s="17" t="s">
        <v>80</v>
      </c>
      <c r="D46" s="17" t="s">
        <v>1330</v>
      </c>
      <c r="E46" s="17">
        <v>2019</v>
      </c>
      <c r="F46" s="17" t="s">
        <v>1364</v>
      </c>
      <c r="G46" s="17" t="s">
        <v>1365</v>
      </c>
      <c r="H46" s="17" t="s">
        <v>80</v>
      </c>
      <c r="I46" s="17" t="s">
        <v>1377</v>
      </c>
      <c r="J46" s="17" t="s">
        <v>1367</v>
      </c>
    </row>
    <row r="47" spans="1:10">
      <c r="A47" s="17" t="s">
        <v>369</v>
      </c>
      <c r="B47" s="17">
        <v>6</v>
      </c>
      <c r="C47" s="17" t="s">
        <v>81</v>
      </c>
      <c r="D47" s="17" t="s">
        <v>1301</v>
      </c>
      <c r="E47" s="17">
        <v>2023</v>
      </c>
      <c r="F47" s="17" t="s">
        <v>1369</v>
      </c>
      <c r="G47" s="17" t="s">
        <v>1370</v>
      </c>
      <c r="H47" s="17" t="s">
        <v>80</v>
      </c>
      <c r="I47" s="17" t="s">
        <v>1378</v>
      </c>
      <c r="J47" s="17" t="s">
        <v>1372</v>
      </c>
    </row>
    <row r="48" spans="1:10">
      <c r="A48" s="17"/>
      <c r="B48" s="17"/>
      <c r="C48" s="17"/>
      <c r="D48" s="17"/>
      <c r="E48" s="17"/>
      <c r="F48" s="17"/>
      <c r="G48" s="17"/>
      <c r="H48" s="17"/>
      <c r="I48" s="17"/>
      <c r="J48" s="17"/>
    </row>
    <row r="49" spans="1:10">
      <c r="A49" s="17"/>
      <c r="B49" s="17"/>
      <c r="C49" s="17"/>
      <c r="D49" s="17"/>
      <c r="E49" s="17"/>
      <c r="F49" s="17"/>
      <c r="G49" s="17"/>
      <c r="H49" s="17"/>
      <c r="I49" s="17"/>
      <c r="J49" s="17"/>
    </row>
    <row r="50" spans="1:10">
      <c r="A50" s="17"/>
      <c r="B50" s="17"/>
      <c r="C50" s="17"/>
      <c r="D50" s="17"/>
      <c r="E50" s="17"/>
      <c r="F50" s="17"/>
      <c r="G50" s="17"/>
      <c r="H50" s="17"/>
      <c r="I50" s="17"/>
      <c r="J50" s="17"/>
    </row>
    <row r="51" spans="1:10">
      <c r="A51" s="17"/>
      <c r="B51" s="17"/>
      <c r="C51" s="17"/>
      <c r="D51" s="17"/>
      <c r="E51" s="17"/>
      <c r="F51" s="17"/>
      <c r="G51" s="17"/>
      <c r="H51" s="17"/>
      <c r="I51" s="17"/>
      <c r="J51" s="17"/>
    </row>
    <row r="52" spans="1:10">
      <c r="A52" s="17"/>
      <c r="B52" s="17"/>
      <c r="C52" s="17"/>
      <c r="D52" s="17"/>
      <c r="E52" s="17"/>
      <c r="F52" s="17"/>
      <c r="G52" s="17"/>
      <c r="H52" s="17"/>
      <c r="I52" s="17"/>
      <c r="J52" s="17"/>
    </row>
    <row r="53" spans="1:10">
      <c r="A53" s="17"/>
      <c r="B53" s="17"/>
      <c r="C53" s="17"/>
      <c r="D53" s="17"/>
      <c r="E53" s="17"/>
      <c r="F53" s="17"/>
      <c r="G53" s="17"/>
      <c r="H53" s="17"/>
      <c r="I53" s="17"/>
      <c r="J53" s="17"/>
    </row>
    <row r="54" spans="1:10">
      <c r="A54" s="17"/>
      <c r="B54" s="17"/>
      <c r="C54" s="17"/>
      <c r="D54" s="17"/>
      <c r="E54" s="17"/>
      <c r="F54" s="17"/>
      <c r="G54" s="17"/>
      <c r="H54" s="17"/>
      <c r="I54" s="17"/>
      <c r="J54" s="17"/>
    </row>
    <row r="55" spans="1:10">
      <c r="A55" s="17"/>
      <c r="B55" s="17"/>
      <c r="C55" s="17"/>
      <c r="D55" s="17"/>
      <c r="E55" s="17"/>
      <c r="F55" s="17"/>
      <c r="G55" s="17"/>
      <c r="H55" s="17"/>
      <c r="I55" s="17"/>
      <c r="J55" s="17"/>
    </row>
    <row r="56" spans="1:10">
      <c r="A56" s="17"/>
      <c r="B56" s="17"/>
      <c r="C56" s="17"/>
      <c r="D56" s="17"/>
      <c r="E56" s="17"/>
      <c r="F56" s="17"/>
      <c r="G56" s="17"/>
      <c r="H56" s="17"/>
      <c r="I56" s="17"/>
      <c r="J56" s="17"/>
    </row>
    <row r="57" spans="1:10">
      <c r="A57" s="17"/>
      <c r="B57" s="17"/>
      <c r="C57" s="17"/>
      <c r="D57" s="17"/>
      <c r="E57" s="17"/>
      <c r="F57" s="17"/>
      <c r="G57" s="17"/>
      <c r="H57" s="17"/>
      <c r="I57" s="17"/>
      <c r="J57" s="17"/>
    </row>
    <row r="58" spans="1:10">
      <c r="A58" s="17"/>
      <c r="B58" s="17"/>
      <c r="C58" s="17"/>
      <c r="D58" s="17"/>
      <c r="E58" s="17"/>
      <c r="F58" s="17"/>
      <c r="G58" s="17"/>
      <c r="H58" s="17"/>
      <c r="I58" s="17"/>
      <c r="J58" s="17"/>
    </row>
    <row r="59" spans="1:10">
      <c r="A59" s="17"/>
      <c r="B59" s="17"/>
      <c r="C59" s="17"/>
      <c r="D59" s="17"/>
      <c r="E59" s="17"/>
      <c r="F59" s="17"/>
      <c r="G59" s="17"/>
      <c r="H59" s="17"/>
      <c r="I59" s="17"/>
      <c r="J59" s="17"/>
    </row>
    <row r="60" spans="1:10">
      <c r="A60" s="17"/>
      <c r="B60" s="17"/>
      <c r="C60" s="17"/>
      <c r="D60" s="17"/>
      <c r="E60" s="17"/>
      <c r="F60" s="17"/>
      <c r="G60" s="17"/>
      <c r="H60" s="17"/>
      <c r="I60" s="17"/>
      <c r="J60" s="17"/>
    </row>
    <row r="61" spans="1:10">
      <c r="A61" s="17"/>
      <c r="B61" s="17"/>
      <c r="C61" s="17"/>
      <c r="D61" s="17"/>
      <c r="E61" s="17"/>
      <c r="F61" s="17"/>
      <c r="G61" s="17"/>
      <c r="H61" s="17"/>
      <c r="I61" s="17"/>
      <c r="J61" s="17"/>
    </row>
    <row r="62" spans="1:10">
      <c r="A62" s="17"/>
      <c r="B62" s="17"/>
      <c r="C62" s="17"/>
      <c r="D62" s="17"/>
      <c r="E62" s="17"/>
      <c r="F62" s="17"/>
      <c r="G62" s="17"/>
      <c r="H62" s="17"/>
      <c r="I62" s="17"/>
      <c r="J62" s="17"/>
    </row>
    <row r="63" spans="1:10">
      <c r="A63" s="17"/>
      <c r="B63" s="17"/>
      <c r="C63" s="17"/>
      <c r="D63" s="17"/>
      <c r="E63" s="17"/>
      <c r="F63" s="17"/>
      <c r="G63" s="17"/>
      <c r="H63" s="17"/>
      <c r="I63" s="17"/>
      <c r="J63" s="17"/>
    </row>
    <row r="64" spans="1:10">
      <c r="A64" s="17"/>
      <c r="B64" s="17"/>
      <c r="C64" s="17"/>
      <c r="D64" s="17"/>
      <c r="E64" s="17"/>
      <c r="F64" s="17"/>
      <c r="G64" s="17"/>
      <c r="H64" s="17"/>
      <c r="I64" s="17"/>
      <c r="J64" s="17"/>
    </row>
    <row r="65" spans="1:10">
      <c r="A65" s="17"/>
      <c r="B65" s="17"/>
      <c r="C65" s="17"/>
      <c r="D65" s="17"/>
      <c r="E65" s="17"/>
      <c r="F65" s="17"/>
      <c r="G65" s="17"/>
      <c r="H65" s="17"/>
      <c r="I65" s="17"/>
      <c r="J65" s="17"/>
    </row>
    <row r="66" spans="1:10">
      <c r="A66" s="17"/>
      <c r="B66" s="17"/>
      <c r="C66" s="17"/>
      <c r="D66" s="17"/>
      <c r="E66" s="17"/>
      <c r="F66" s="17"/>
      <c r="G66" s="17"/>
      <c r="H66" s="17"/>
      <c r="I66" s="17"/>
      <c r="J66" s="17"/>
    </row>
    <row r="67" spans="1:10">
      <c r="A67" s="17"/>
      <c r="B67" s="17"/>
      <c r="C67" s="17"/>
      <c r="D67" s="17"/>
      <c r="E67" s="17"/>
      <c r="F67" s="17"/>
      <c r="G67" s="17"/>
      <c r="H67" s="17"/>
      <c r="I67" s="17"/>
      <c r="J67" s="17"/>
    </row>
    <row r="68" spans="1:10">
      <c r="A68" s="17"/>
      <c r="B68" s="17"/>
      <c r="C68" s="17"/>
      <c r="D68" s="17"/>
      <c r="E68" s="17"/>
      <c r="F68" s="17"/>
      <c r="G68" s="17"/>
      <c r="H68" s="17"/>
      <c r="I68" s="17"/>
      <c r="J68" s="17"/>
    </row>
    <row r="69" spans="1:10">
      <c r="A69" s="17"/>
      <c r="B69" s="17"/>
      <c r="C69" s="17"/>
      <c r="D69" s="17"/>
      <c r="E69" s="17"/>
      <c r="F69" s="17"/>
      <c r="G69" s="17"/>
      <c r="H69" s="17"/>
      <c r="I69" s="17"/>
      <c r="J69" s="17"/>
    </row>
    <row r="70" spans="1:10">
      <c r="A70" s="17"/>
      <c r="B70" s="17"/>
      <c r="C70" s="17"/>
      <c r="D70" s="17"/>
      <c r="E70" s="17"/>
      <c r="F70" s="17"/>
      <c r="G70" s="17"/>
      <c r="H70" s="17"/>
      <c r="I70" s="17"/>
      <c r="J70" s="17"/>
    </row>
    <row r="71" spans="1:10">
      <c r="A71" s="17"/>
      <c r="B71" s="17"/>
      <c r="C71" s="17"/>
      <c r="D71" s="17"/>
      <c r="E71" s="17"/>
      <c r="F71" s="17"/>
      <c r="G71" s="17"/>
      <c r="H71" s="17"/>
      <c r="I71" s="17"/>
      <c r="J71" s="17"/>
    </row>
    <row r="72" spans="1:10">
      <c r="A72" s="17"/>
      <c r="B72" s="17"/>
      <c r="C72" s="17"/>
      <c r="D72" s="17"/>
      <c r="E72" s="17"/>
      <c r="F72" s="17"/>
      <c r="G72" s="17"/>
      <c r="H72" s="17"/>
      <c r="I72" s="17"/>
      <c r="J72" s="17"/>
    </row>
    <row r="73" spans="1:10">
      <c r="A73" s="17"/>
      <c r="B73" s="17"/>
      <c r="C73" s="17"/>
      <c r="D73" s="17"/>
      <c r="E73" s="17"/>
      <c r="F73" s="17"/>
      <c r="G73" s="17"/>
      <c r="H73" s="17"/>
      <c r="I73" s="17"/>
      <c r="J73" s="17"/>
    </row>
    <row r="74" spans="1:10">
      <c r="A74" s="17"/>
      <c r="B74" s="17"/>
      <c r="C74" s="17"/>
      <c r="D74" s="17"/>
      <c r="E74" s="17"/>
      <c r="F74" s="17"/>
      <c r="G74" s="17"/>
      <c r="H74" s="17"/>
      <c r="I74" s="17"/>
      <c r="J74" s="17"/>
    </row>
    <row r="75" spans="1:10">
      <c r="A75" s="17"/>
      <c r="B75" s="17"/>
      <c r="C75" s="17"/>
      <c r="D75" s="17"/>
      <c r="E75" s="17"/>
      <c r="F75" s="17"/>
      <c r="G75" s="17"/>
      <c r="H75" s="17"/>
      <c r="I75" s="17"/>
      <c r="J75" s="17"/>
    </row>
    <row r="76" spans="1:10">
      <c r="A76" s="17"/>
      <c r="B76" s="17"/>
      <c r="C76" s="17"/>
      <c r="D76" s="17"/>
      <c r="E76" s="17"/>
      <c r="F76" s="17"/>
      <c r="G76" s="17"/>
      <c r="H76" s="17"/>
      <c r="I76" s="17"/>
      <c r="J76" s="17"/>
    </row>
    <row r="77" spans="1:10">
      <c r="A77" s="17"/>
      <c r="B77" s="17"/>
      <c r="C77" s="17"/>
      <c r="D77" s="17"/>
      <c r="E77" s="17"/>
      <c r="F77" s="17"/>
      <c r="G77" s="17"/>
      <c r="H77" s="17"/>
      <c r="I77" s="17"/>
      <c r="J77" s="17"/>
    </row>
    <row r="78" spans="1:10">
      <c r="A78" s="17"/>
      <c r="B78" s="17"/>
      <c r="C78" s="17"/>
      <c r="D78" s="17"/>
      <c r="E78" s="17"/>
      <c r="F78" s="17"/>
      <c r="G78" s="17"/>
      <c r="H78" s="17"/>
      <c r="I78" s="17"/>
      <c r="J78" s="17"/>
    </row>
    <row r="79" spans="1:10">
      <c r="A79" s="17"/>
      <c r="B79" s="17"/>
      <c r="C79" s="17"/>
      <c r="D79" s="17"/>
      <c r="E79" s="17"/>
      <c r="F79" s="17"/>
      <c r="G79" s="17"/>
      <c r="H79" s="17"/>
      <c r="I79" s="17"/>
      <c r="J79" s="17"/>
    </row>
    <row r="80" spans="1:10">
      <c r="A80" s="17"/>
      <c r="B80" s="17"/>
      <c r="C80" s="17"/>
      <c r="D80" s="17"/>
      <c r="E80" s="17"/>
      <c r="F80" s="17"/>
      <c r="G80" s="17"/>
      <c r="H80" s="17"/>
      <c r="I80" s="17"/>
      <c r="J80" s="17"/>
    </row>
    <row r="81" spans="1:10">
      <c r="A81" s="17"/>
      <c r="B81" s="17"/>
      <c r="C81" s="17"/>
      <c r="D81" s="17"/>
      <c r="E81" s="17"/>
      <c r="F81" s="17"/>
      <c r="G81" s="17"/>
      <c r="H81" s="17"/>
      <c r="I81" s="17"/>
      <c r="J81" s="17"/>
    </row>
    <row r="82" spans="1:10">
      <c r="A82" s="17"/>
      <c r="B82" s="17"/>
      <c r="C82" s="17"/>
      <c r="D82" s="17"/>
      <c r="E82" s="17"/>
      <c r="F82" s="17"/>
      <c r="G82" s="17"/>
      <c r="H82" s="17"/>
      <c r="I82" s="17"/>
      <c r="J82" s="17"/>
    </row>
    <row r="83" spans="1:10">
      <c r="A83" s="17"/>
      <c r="B83" s="17"/>
      <c r="C83" s="17"/>
      <c r="D83" s="17"/>
      <c r="E83" s="17"/>
      <c r="F83" s="17"/>
      <c r="G83" s="17"/>
      <c r="H83" s="17"/>
      <c r="I83" s="17"/>
      <c r="J83" s="17"/>
    </row>
    <row r="84" spans="1:10">
      <c r="A84" s="17"/>
      <c r="B84" s="17"/>
      <c r="C84" s="17"/>
      <c r="D84" s="17"/>
      <c r="E84" s="17"/>
      <c r="F84" s="17"/>
      <c r="G84" s="17"/>
      <c r="H84" s="17"/>
      <c r="I84" s="17"/>
      <c r="J84" s="17"/>
    </row>
    <row r="85" spans="1:10">
      <c r="A85" s="17"/>
      <c r="B85" s="17"/>
      <c r="C85" s="17"/>
      <c r="D85" s="17"/>
      <c r="E85" s="17"/>
      <c r="F85" s="17"/>
      <c r="G85" s="17"/>
      <c r="H85" s="17"/>
      <c r="I85" s="17"/>
      <c r="J85" s="17"/>
    </row>
    <row r="86" spans="1:10">
      <c r="A86" s="17"/>
      <c r="B86" s="17"/>
      <c r="C86" s="17"/>
      <c r="D86" s="17"/>
      <c r="E86" s="17"/>
      <c r="F86" s="17"/>
      <c r="G86" s="17"/>
      <c r="H86" s="17"/>
      <c r="I86" s="17"/>
      <c r="J86" s="17"/>
    </row>
    <row r="87" spans="1:10">
      <c r="A87" s="17"/>
      <c r="B87" s="17"/>
      <c r="C87" s="17"/>
      <c r="D87" s="17"/>
      <c r="E87" s="17"/>
      <c r="F87" s="17"/>
      <c r="G87" s="17"/>
      <c r="H87" s="17"/>
      <c r="I87" s="17"/>
      <c r="J87" s="17"/>
    </row>
    <row r="88" spans="1:10">
      <c r="A88" s="13"/>
      <c r="B88" s="13"/>
      <c r="C88" s="13"/>
      <c r="D88" s="13"/>
      <c r="E88" s="13"/>
      <c r="F88" s="13"/>
      <c r="G88" s="13"/>
      <c r="H88" s="13"/>
      <c r="I88" s="13"/>
      <c r="J88" s="18"/>
    </row>
    <row r="89" spans="1:10">
      <c r="A89" s="13"/>
      <c r="B89" s="13"/>
      <c r="C89" s="13"/>
      <c r="D89" s="13"/>
      <c r="E89" s="13"/>
      <c r="F89" s="13"/>
      <c r="G89" s="13"/>
      <c r="H89" s="13"/>
      <c r="I89" s="13"/>
      <c r="J89" s="18"/>
    </row>
    <row r="90" spans="1:10">
      <c r="A90" s="13"/>
      <c r="B90" s="13"/>
      <c r="C90" s="13"/>
      <c r="D90" s="13"/>
      <c r="E90" s="13"/>
      <c r="F90" s="13"/>
      <c r="G90" s="13"/>
      <c r="H90" s="13"/>
      <c r="I90" s="13"/>
      <c r="J90" s="18"/>
    </row>
    <row r="91" spans="1:10">
      <c r="A91" s="13"/>
      <c r="B91" s="13"/>
      <c r="C91" s="13"/>
      <c r="D91" s="13"/>
      <c r="E91" s="13"/>
      <c r="F91" s="13"/>
      <c r="G91" s="13"/>
      <c r="H91" s="13"/>
      <c r="I91" s="13"/>
      <c r="J91" s="18"/>
    </row>
    <row r="92" spans="1:10">
      <c r="A92" s="13"/>
      <c r="B92" s="13"/>
      <c r="C92" s="13"/>
      <c r="D92" s="13"/>
      <c r="E92" s="13"/>
      <c r="F92" s="13"/>
      <c r="G92" s="13"/>
      <c r="H92" s="13"/>
      <c r="I92" s="13"/>
      <c r="J92" s="18"/>
    </row>
    <row r="93" spans="1:10">
      <c r="A93" s="13"/>
      <c r="B93" s="13"/>
      <c r="C93" s="13"/>
      <c r="D93" s="13"/>
      <c r="E93" s="13"/>
      <c r="F93" s="13"/>
      <c r="G93" s="13"/>
      <c r="H93" s="13"/>
      <c r="I93" s="13"/>
      <c r="J93" s="18"/>
    </row>
    <row r="94" spans="1:10">
      <c r="A94" s="13"/>
      <c r="B94" s="13"/>
      <c r="C94" s="13"/>
      <c r="D94" s="13"/>
      <c r="E94" s="13"/>
      <c r="F94" s="13"/>
      <c r="G94" s="13"/>
      <c r="H94" s="13"/>
      <c r="I94" s="13"/>
      <c r="J94" s="18"/>
    </row>
    <row r="95" spans="1:10">
      <c r="A95" s="13"/>
      <c r="B95" s="13"/>
      <c r="C95" s="13"/>
      <c r="D95" s="13"/>
      <c r="E95" s="13"/>
      <c r="F95" s="13"/>
      <c r="G95" s="13"/>
      <c r="H95" s="13"/>
      <c r="I95" s="13"/>
      <c r="J95" s="18"/>
    </row>
    <row r="96" spans="1:10">
      <c r="A96" s="13"/>
      <c r="B96" s="13"/>
      <c r="C96" s="13"/>
      <c r="D96" s="13"/>
      <c r="E96" s="13"/>
      <c r="F96" s="13"/>
      <c r="G96" s="13"/>
      <c r="H96" s="13"/>
      <c r="I96" s="13"/>
      <c r="J96" s="18"/>
    </row>
    <row r="97" spans="1:10">
      <c r="A97" s="13"/>
      <c r="B97" s="13"/>
      <c r="C97" s="13"/>
      <c r="D97" s="13"/>
      <c r="E97" s="13"/>
      <c r="F97" s="13"/>
      <c r="G97" s="13"/>
      <c r="H97" s="13"/>
      <c r="I97" s="13"/>
      <c r="J97" s="18"/>
    </row>
    <row r="98" spans="1:10">
      <c r="A98" s="13"/>
      <c r="B98" s="13"/>
      <c r="C98" s="13"/>
      <c r="D98" s="13"/>
      <c r="E98" s="13"/>
      <c r="F98" s="13"/>
      <c r="G98" s="13"/>
      <c r="H98" s="13"/>
      <c r="I98" s="13"/>
      <c r="J98" s="18"/>
    </row>
    <row r="99" spans="1:10">
      <c r="A99" s="13"/>
      <c r="B99" s="13"/>
      <c r="C99" s="13"/>
      <c r="D99" s="13"/>
      <c r="E99" s="13"/>
      <c r="F99" s="13"/>
      <c r="G99" s="13"/>
      <c r="H99" s="13"/>
      <c r="I99" s="13"/>
      <c r="J99" s="18"/>
    </row>
    <row r="100" spans="1:10">
      <c r="A100" s="13"/>
      <c r="B100" s="13"/>
      <c r="C100" s="13"/>
      <c r="D100" s="13"/>
      <c r="E100" s="13"/>
      <c r="F100" s="13"/>
      <c r="G100" s="13"/>
      <c r="H100" s="13"/>
      <c r="I100" s="13"/>
      <c r="J100" s="18"/>
    </row>
    <row r="101" spans="1:10">
      <c r="A101" s="13"/>
      <c r="B101" s="13"/>
      <c r="C101" s="13"/>
      <c r="D101" s="13"/>
      <c r="E101" s="13"/>
      <c r="F101" s="13"/>
      <c r="G101" s="13"/>
      <c r="H101" s="13"/>
      <c r="I101" s="13"/>
      <c r="J101" s="18"/>
    </row>
    <row r="102" spans="1:10">
      <c r="A102" s="13"/>
      <c r="B102" s="13"/>
      <c r="C102" s="13"/>
      <c r="D102" s="13"/>
      <c r="E102" s="13"/>
      <c r="F102" s="13"/>
      <c r="G102" s="13"/>
      <c r="H102" s="13"/>
      <c r="I102" s="13"/>
      <c r="J102" s="18"/>
    </row>
    <row r="103" spans="1:10">
      <c r="A103" s="13"/>
      <c r="B103" s="13"/>
      <c r="C103" s="13"/>
      <c r="D103" s="13"/>
      <c r="E103" s="13"/>
      <c r="F103" s="13"/>
      <c r="G103" s="13"/>
      <c r="H103" s="13"/>
      <c r="I103" s="13"/>
      <c r="J103" s="18"/>
    </row>
    <row r="104" spans="1:10">
      <c r="A104" s="13"/>
      <c r="B104" s="13"/>
      <c r="C104" s="13"/>
      <c r="D104" s="13"/>
      <c r="E104" s="13"/>
      <c r="F104" s="13"/>
      <c r="G104" s="13"/>
      <c r="H104" s="13"/>
      <c r="I104" s="13"/>
      <c r="J104" s="18"/>
    </row>
    <row r="105" spans="1:10">
      <c r="A105" s="13"/>
      <c r="B105" s="13"/>
      <c r="C105" s="13"/>
      <c r="D105" s="13"/>
      <c r="E105" s="13"/>
      <c r="F105" s="13"/>
      <c r="G105" s="13"/>
      <c r="H105" s="13"/>
      <c r="I105" s="13"/>
      <c r="J105" s="18"/>
    </row>
    <row r="106" spans="1:10">
      <c r="A106" s="13"/>
      <c r="B106" s="13"/>
      <c r="C106" s="13"/>
      <c r="D106" s="13"/>
      <c r="E106" s="13"/>
      <c r="F106" s="13"/>
      <c r="G106" s="13"/>
      <c r="H106" s="13"/>
      <c r="I106" s="13"/>
      <c r="J106" s="18"/>
    </row>
    <row r="107" spans="1:10">
      <c r="A107" s="13"/>
      <c r="B107" s="13"/>
      <c r="C107" s="13"/>
      <c r="D107" s="13"/>
      <c r="E107" s="13"/>
      <c r="F107" s="13"/>
      <c r="G107" s="13"/>
      <c r="H107" s="13"/>
      <c r="I107" s="13"/>
      <c r="J107" s="18"/>
    </row>
    <row r="108" spans="1:10">
      <c r="A108" s="13"/>
      <c r="B108" s="13"/>
      <c r="C108" s="13"/>
      <c r="D108" s="13"/>
      <c r="E108" s="13"/>
      <c r="F108" s="13"/>
      <c r="G108" s="13"/>
      <c r="H108" s="13"/>
      <c r="I108" s="13"/>
      <c r="J108" s="18"/>
    </row>
    <row r="109" spans="1:10">
      <c r="A109" s="13"/>
      <c r="B109" s="13"/>
      <c r="C109" s="13"/>
      <c r="D109" s="13"/>
      <c r="E109" s="13"/>
      <c r="F109" s="13"/>
      <c r="G109" s="13"/>
      <c r="H109" s="13"/>
      <c r="I109" s="13"/>
      <c r="J109" s="18"/>
    </row>
    <row r="110" spans="1:10">
      <c r="A110" s="13"/>
      <c r="B110" s="13"/>
      <c r="C110" s="13"/>
      <c r="D110" s="13"/>
      <c r="E110" s="13"/>
      <c r="F110" s="13"/>
      <c r="G110" s="13"/>
      <c r="H110" s="13"/>
      <c r="I110" s="13"/>
      <c r="J110" s="18"/>
    </row>
    <row r="111" spans="1:10">
      <c r="A111" s="13"/>
      <c r="B111" s="13"/>
      <c r="C111" s="13"/>
      <c r="D111" s="13"/>
      <c r="E111" s="13"/>
      <c r="F111" s="13"/>
      <c r="G111" s="13"/>
      <c r="H111" s="13"/>
      <c r="I111" s="13"/>
      <c r="J111" s="18"/>
    </row>
    <row r="112" spans="1:10">
      <c r="A112" s="13"/>
      <c r="B112" s="13"/>
      <c r="C112" s="13"/>
      <c r="D112" s="13"/>
      <c r="E112" s="13"/>
      <c r="F112" s="13"/>
      <c r="G112" s="13"/>
      <c r="H112" s="13"/>
      <c r="I112" s="13"/>
      <c r="J112" s="18"/>
    </row>
    <row r="113" spans="1:10">
      <c r="A113" s="13"/>
      <c r="B113" s="13"/>
      <c r="C113" s="13"/>
      <c r="D113" s="13"/>
      <c r="E113" s="13"/>
      <c r="F113" s="13"/>
      <c r="G113" s="13"/>
      <c r="H113" s="13"/>
      <c r="I113" s="13"/>
      <c r="J113" s="18"/>
    </row>
    <row r="114" spans="1:10">
      <c r="A114" s="13"/>
      <c r="B114" s="13"/>
      <c r="C114" s="13"/>
      <c r="D114" s="13"/>
      <c r="E114" s="13"/>
      <c r="F114" s="13"/>
      <c r="G114" s="13"/>
      <c r="H114" s="13"/>
      <c r="I114" s="13"/>
      <c r="J114" s="18"/>
    </row>
    <row r="115" spans="1:10">
      <c r="A115" s="13"/>
      <c r="B115" s="13"/>
      <c r="C115" s="13"/>
      <c r="D115" s="13"/>
      <c r="E115" s="13"/>
      <c r="F115" s="13"/>
      <c r="G115" s="13"/>
      <c r="H115" s="13"/>
      <c r="I115" s="13"/>
      <c r="J115" s="18"/>
    </row>
    <row r="116" spans="1:10">
      <c r="A116" s="13"/>
      <c r="B116" s="13"/>
      <c r="C116" s="13"/>
      <c r="D116" s="13"/>
      <c r="E116" s="13"/>
      <c r="F116" s="13"/>
      <c r="G116" s="13"/>
      <c r="H116" s="13"/>
      <c r="I116" s="13"/>
      <c r="J116" s="18"/>
    </row>
    <row r="117" spans="1:10">
      <c r="A117" s="13"/>
      <c r="B117" s="13"/>
      <c r="C117" s="13"/>
      <c r="D117" s="13"/>
      <c r="E117" s="13"/>
      <c r="F117" s="13"/>
      <c r="G117" s="13"/>
      <c r="H117" s="13"/>
      <c r="I117" s="13"/>
      <c r="J117" s="18"/>
    </row>
    <row r="118" spans="1:10">
      <c r="A118" s="13"/>
      <c r="B118" s="13"/>
      <c r="C118" s="13"/>
      <c r="D118" s="13"/>
      <c r="E118" s="13"/>
      <c r="F118" s="13"/>
      <c r="G118" s="13"/>
      <c r="H118" s="13"/>
      <c r="I118" s="13"/>
      <c r="J118" s="18"/>
    </row>
    <row r="119" spans="1:10">
      <c r="A119" s="13"/>
      <c r="B119" s="13"/>
      <c r="C119" s="13"/>
      <c r="D119" s="13"/>
      <c r="E119" s="13"/>
      <c r="F119" s="13"/>
      <c r="G119" s="13"/>
      <c r="H119" s="13"/>
      <c r="I119" s="13"/>
      <c r="J119" s="18"/>
    </row>
    <row r="120" spans="1:10">
      <c r="A120" s="13"/>
      <c r="B120" s="13"/>
      <c r="C120" s="13"/>
      <c r="D120" s="13"/>
      <c r="E120" s="13"/>
      <c r="F120" s="13"/>
      <c r="G120" s="13"/>
      <c r="H120" s="13"/>
      <c r="I120" s="13"/>
      <c r="J120" s="18"/>
    </row>
    <row r="121" spans="1:10">
      <c r="A121" s="13"/>
      <c r="B121" s="13"/>
      <c r="C121" s="13"/>
      <c r="D121" s="13"/>
      <c r="E121" s="13"/>
      <c r="F121" s="13"/>
      <c r="G121" s="13"/>
      <c r="H121" s="13"/>
      <c r="I121" s="13"/>
      <c r="J121" s="18"/>
    </row>
    <row r="122" spans="1:10">
      <c r="A122" s="13"/>
      <c r="B122" s="13"/>
      <c r="C122" s="13"/>
      <c r="D122" s="13"/>
      <c r="E122" s="13"/>
      <c r="F122" s="13"/>
      <c r="G122" s="13"/>
      <c r="H122" s="13"/>
      <c r="I122" s="13"/>
      <c r="J122" s="18"/>
    </row>
    <row r="123" spans="1:10">
      <c r="A123" s="13"/>
      <c r="B123" s="13"/>
      <c r="C123" s="13"/>
      <c r="D123" s="13"/>
      <c r="E123" s="13"/>
      <c r="F123" s="13"/>
      <c r="G123" s="13"/>
      <c r="H123" s="13"/>
      <c r="I123" s="13"/>
      <c r="J123" s="18"/>
    </row>
    <row r="124" spans="1:10">
      <c r="A124" s="13"/>
      <c r="B124" s="13"/>
      <c r="C124" s="13"/>
      <c r="D124" s="13"/>
      <c r="E124" s="13"/>
      <c r="F124" s="13"/>
      <c r="G124" s="13"/>
      <c r="H124" s="13"/>
      <c r="I124" s="13"/>
      <c r="J124" s="18"/>
    </row>
    <row r="125" spans="1:10">
      <c r="A125" s="13"/>
      <c r="B125" s="13"/>
      <c r="C125" s="13"/>
      <c r="D125" s="13"/>
      <c r="E125" s="13"/>
      <c r="F125" s="13"/>
      <c r="G125" s="13"/>
      <c r="H125" s="13"/>
      <c r="I125" s="13"/>
      <c r="J125" s="18"/>
    </row>
    <row r="126" spans="1:10">
      <c r="A126" s="13"/>
      <c r="B126" s="13"/>
      <c r="C126" s="13"/>
      <c r="D126" s="13"/>
      <c r="E126" s="13"/>
      <c r="F126" s="13"/>
      <c r="G126" s="13"/>
      <c r="H126" s="13"/>
      <c r="I126" s="13"/>
      <c r="J126" s="18"/>
    </row>
    <row r="127" spans="1:10">
      <c r="A127" s="13"/>
      <c r="B127" s="13"/>
      <c r="C127" s="13"/>
      <c r="D127" s="13"/>
      <c r="E127" s="13"/>
      <c r="F127" s="13"/>
      <c r="G127" s="13"/>
      <c r="H127" s="13"/>
      <c r="I127" s="13"/>
      <c r="J127" s="18"/>
    </row>
    <row r="128" spans="1:10">
      <c r="A128" s="13"/>
      <c r="B128" s="13"/>
      <c r="C128" s="13"/>
      <c r="D128" s="13"/>
      <c r="E128" s="13"/>
      <c r="F128" s="13"/>
      <c r="G128" s="13"/>
      <c r="H128" s="13"/>
      <c r="I128" s="13"/>
      <c r="J128" s="18"/>
    </row>
    <row r="129" spans="1:10">
      <c r="A129" s="13"/>
      <c r="B129" s="13"/>
      <c r="C129" s="13"/>
      <c r="D129" s="13"/>
      <c r="E129" s="13"/>
      <c r="F129" s="13"/>
      <c r="G129" s="13"/>
      <c r="H129" s="13"/>
      <c r="I129" s="13"/>
      <c r="J129" s="18"/>
    </row>
    <row r="130" spans="1:10">
      <c r="A130" s="13"/>
      <c r="B130" s="13"/>
      <c r="C130" s="13"/>
      <c r="D130" s="13"/>
      <c r="E130" s="13"/>
      <c r="F130" s="13"/>
      <c r="G130" s="13"/>
      <c r="H130" s="13"/>
      <c r="I130" s="13"/>
      <c r="J130" s="18"/>
    </row>
    <row r="131" spans="1:10">
      <c r="A131" s="13"/>
      <c r="B131" s="13"/>
      <c r="C131" s="13"/>
      <c r="D131" s="13"/>
      <c r="E131" s="13"/>
      <c r="F131" s="13"/>
      <c r="G131" s="13"/>
      <c r="H131" s="13"/>
      <c r="I131" s="13"/>
      <c r="J131" s="18"/>
    </row>
    <row r="132" spans="1:10">
      <c r="A132" s="13"/>
      <c r="B132" s="13"/>
      <c r="C132" s="13"/>
      <c r="D132" s="13"/>
      <c r="E132" s="13"/>
      <c r="F132" s="13"/>
      <c r="G132" s="13"/>
      <c r="H132" s="13"/>
      <c r="I132" s="13"/>
      <c r="J132" s="18"/>
    </row>
    <row r="133" spans="1:10">
      <c r="A133" s="13"/>
      <c r="B133" s="13"/>
      <c r="C133" s="13"/>
      <c r="D133" s="13"/>
      <c r="E133" s="13"/>
      <c r="F133" s="13"/>
      <c r="G133" s="13"/>
      <c r="H133" s="13"/>
      <c r="I133" s="13"/>
      <c r="J133" s="18"/>
    </row>
    <row r="134" spans="1:10">
      <c r="A134" s="13"/>
      <c r="B134" s="13"/>
      <c r="C134" s="13"/>
      <c r="D134" s="13"/>
      <c r="E134" s="13"/>
      <c r="F134" s="13"/>
      <c r="G134" s="13"/>
      <c r="H134" s="13"/>
      <c r="I134" s="13"/>
      <c r="J134" s="18"/>
    </row>
    <row r="135" spans="1:10">
      <c r="A135" s="13"/>
      <c r="B135" s="13"/>
      <c r="C135" s="13"/>
      <c r="D135" s="13"/>
      <c r="E135" s="13"/>
      <c r="F135" s="13"/>
      <c r="G135" s="13"/>
      <c r="H135" s="13"/>
      <c r="I135" s="13"/>
      <c r="J135" s="18"/>
    </row>
    <row r="136" spans="1:10">
      <c r="A136" s="13"/>
      <c r="B136" s="13"/>
      <c r="C136" s="13"/>
      <c r="D136" s="13"/>
      <c r="E136" s="13"/>
      <c r="F136" s="13"/>
      <c r="G136" s="13"/>
      <c r="H136" s="13"/>
      <c r="I136" s="13"/>
      <c r="J136" s="18"/>
    </row>
    <row r="137" spans="1:10">
      <c r="A137" s="13"/>
      <c r="B137" s="13"/>
      <c r="C137" s="13"/>
      <c r="D137" s="13"/>
      <c r="E137" s="13"/>
      <c r="F137" s="13"/>
      <c r="G137" s="13"/>
      <c r="H137" s="13"/>
      <c r="I137" s="13"/>
      <c r="J137" s="18"/>
    </row>
    <row r="138" spans="1:10">
      <c r="A138" s="13"/>
      <c r="B138" s="13"/>
      <c r="C138" s="13"/>
      <c r="D138" s="13"/>
      <c r="E138" s="13"/>
      <c r="F138" s="13"/>
      <c r="G138" s="13"/>
      <c r="H138" s="13"/>
      <c r="I138" s="13"/>
      <c r="J138" s="18"/>
    </row>
    <row r="139" spans="1:10">
      <c r="A139" s="13"/>
      <c r="B139" s="13"/>
      <c r="C139" s="13"/>
      <c r="D139" s="13"/>
      <c r="E139" s="13"/>
      <c r="F139" s="13"/>
      <c r="G139" s="13"/>
      <c r="H139" s="13"/>
      <c r="I139" s="13"/>
      <c r="J139" s="18"/>
    </row>
    <row r="140" spans="1:10">
      <c r="A140" s="13"/>
      <c r="B140" s="13"/>
      <c r="C140" s="13"/>
      <c r="D140" s="13"/>
      <c r="E140" s="13"/>
      <c r="F140" s="13"/>
      <c r="G140" s="13"/>
      <c r="H140" s="13"/>
      <c r="I140" s="13"/>
      <c r="J140" s="18"/>
    </row>
    <row r="141" spans="1:10">
      <c r="A141" s="13"/>
      <c r="B141" s="13"/>
      <c r="C141" s="13"/>
      <c r="D141" s="13"/>
      <c r="E141" s="13"/>
      <c r="F141" s="13"/>
      <c r="G141" s="13"/>
      <c r="H141" s="13"/>
      <c r="I141" s="13"/>
      <c r="J141" s="18"/>
    </row>
    <row r="142" spans="1:10">
      <c r="A142" s="13"/>
      <c r="B142" s="13"/>
      <c r="C142" s="13"/>
      <c r="D142" s="13"/>
      <c r="E142" s="13"/>
      <c r="F142" s="13"/>
      <c r="G142" s="13"/>
      <c r="H142" s="13"/>
      <c r="I142" s="13"/>
      <c r="J142" s="18"/>
    </row>
    <row r="143" spans="1:10">
      <c r="A143" s="13"/>
      <c r="B143" s="13"/>
      <c r="C143" s="13"/>
      <c r="D143" s="13"/>
      <c r="E143" s="13"/>
      <c r="F143" s="13"/>
      <c r="G143" s="13"/>
      <c r="H143" s="13"/>
      <c r="I143" s="13"/>
      <c r="J143" s="18"/>
    </row>
    <row r="144" spans="1:10">
      <c r="A144" s="13"/>
      <c r="B144" s="13"/>
      <c r="C144" s="13"/>
      <c r="D144" s="13"/>
      <c r="E144" s="13"/>
      <c r="F144" s="13"/>
      <c r="G144" s="13"/>
      <c r="H144" s="13"/>
      <c r="I144" s="13"/>
      <c r="J144" s="18"/>
    </row>
    <row r="145" spans="1:10">
      <c r="A145" s="13"/>
      <c r="B145" s="13"/>
      <c r="C145" s="13"/>
      <c r="D145" s="13"/>
      <c r="E145" s="13"/>
      <c r="F145" s="13"/>
      <c r="G145" s="13"/>
      <c r="H145" s="13"/>
      <c r="I145" s="13"/>
      <c r="J145" s="18"/>
    </row>
    <row r="146" spans="1:10">
      <c r="A146" s="13"/>
      <c r="B146" s="13"/>
      <c r="C146" s="13"/>
      <c r="D146" s="13"/>
      <c r="E146" s="13"/>
      <c r="F146" s="13"/>
      <c r="G146" s="13"/>
      <c r="H146" s="13"/>
      <c r="I146" s="13"/>
      <c r="J146" s="18"/>
    </row>
    <row r="147" spans="1:10">
      <c r="A147" s="13"/>
      <c r="B147" s="13"/>
      <c r="C147" s="13"/>
      <c r="D147" s="13"/>
      <c r="E147" s="13"/>
      <c r="F147" s="13"/>
      <c r="G147" s="13"/>
      <c r="H147" s="13"/>
      <c r="I147" s="13"/>
      <c r="J147" s="18"/>
    </row>
    <row r="148" spans="1:10">
      <c r="A148" s="13"/>
      <c r="B148" s="13"/>
      <c r="C148" s="13"/>
      <c r="D148" s="13"/>
      <c r="E148" s="13"/>
      <c r="F148" s="13"/>
      <c r="G148" s="13"/>
      <c r="H148" s="13"/>
      <c r="I148" s="13"/>
      <c r="J148" s="18"/>
    </row>
    <row r="149" spans="1:10">
      <c r="A149" s="13"/>
      <c r="B149" s="13"/>
      <c r="C149" s="13"/>
      <c r="D149" s="13"/>
      <c r="E149" s="13"/>
      <c r="F149" s="13"/>
      <c r="G149" s="13"/>
      <c r="H149" s="13"/>
      <c r="I149" s="13"/>
      <c r="J149" s="18"/>
    </row>
    <row r="150" spans="1:10">
      <c r="A150" s="13"/>
      <c r="B150" s="13"/>
      <c r="C150" s="13"/>
      <c r="D150" s="13"/>
      <c r="E150" s="13"/>
      <c r="F150" s="13"/>
      <c r="G150" s="13"/>
      <c r="H150" s="13"/>
      <c r="I150" s="13"/>
      <c r="J150" s="18"/>
    </row>
    <row r="151" spans="1:10">
      <c r="A151" s="13"/>
      <c r="B151" s="13"/>
      <c r="C151" s="13"/>
      <c r="D151" s="13"/>
      <c r="E151" s="13"/>
      <c r="F151" s="13"/>
      <c r="G151" s="13"/>
      <c r="H151" s="13"/>
      <c r="I151" s="13"/>
      <c r="J151" s="18"/>
    </row>
    <row r="152" spans="1:10">
      <c r="A152" s="13"/>
      <c r="B152" s="13"/>
      <c r="C152" s="13"/>
      <c r="D152" s="13"/>
      <c r="E152" s="13"/>
      <c r="F152" s="13"/>
      <c r="G152" s="13"/>
      <c r="H152" s="13"/>
      <c r="I152" s="13"/>
      <c r="J152" s="18"/>
    </row>
    <row r="153" spans="1:10">
      <c r="A153" s="13"/>
      <c r="B153" s="13"/>
      <c r="C153" s="13"/>
      <c r="D153" s="13"/>
      <c r="E153" s="13"/>
      <c r="F153" s="13"/>
      <c r="G153" s="13"/>
      <c r="H153" s="13"/>
      <c r="I153" s="13"/>
      <c r="J153" s="18"/>
    </row>
    <row r="154" spans="1:10">
      <c r="A154" s="13"/>
      <c r="B154" s="13"/>
      <c r="C154" s="13"/>
      <c r="D154" s="13"/>
      <c r="E154" s="13"/>
      <c r="F154" s="13"/>
      <c r="G154" s="13"/>
      <c r="H154" s="13"/>
      <c r="I154" s="13"/>
      <c r="J154" s="18"/>
    </row>
    <row r="155" spans="1:10">
      <c r="A155" s="13"/>
      <c r="B155" s="13"/>
      <c r="C155" s="13"/>
      <c r="D155" s="13"/>
      <c r="E155" s="13"/>
      <c r="F155" s="13"/>
      <c r="G155" s="13"/>
      <c r="H155" s="13"/>
      <c r="I155" s="13"/>
      <c r="J155" s="18"/>
    </row>
    <row r="156" spans="1:10">
      <c r="A156" s="13"/>
      <c r="B156" s="13"/>
      <c r="C156" s="13"/>
      <c r="D156" s="13"/>
      <c r="E156" s="13"/>
      <c r="F156" s="13"/>
      <c r="G156" s="13"/>
      <c r="H156" s="13"/>
      <c r="I156" s="13"/>
      <c r="J156" s="18"/>
    </row>
    <row r="157" spans="1:10">
      <c r="A157" s="13"/>
      <c r="B157" s="13"/>
      <c r="C157" s="13"/>
      <c r="D157" s="13"/>
      <c r="E157" s="13"/>
      <c r="F157" s="13"/>
      <c r="G157" s="13"/>
      <c r="H157" s="13"/>
      <c r="I157" s="13"/>
      <c r="J157" s="18"/>
    </row>
    <row r="158" spans="1:10">
      <c r="A158" s="13"/>
      <c r="B158" s="13"/>
      <c r="C158" s="13"/>
      <c r="D158" s="13"/>
      <c r="E158" s="13"/>
      <c r="F158" s="13"/>
      <c r="G158" s="13"/>
      <c r="H158" s="13"/>
      <c r="I158" s="13"/>
      <c r="J158" s="18"/>
    </row>
    <row r="159" spans="1:10">
      <c r="A159" s="13"/>
      <c r="B159" s="13"/>
      <c r="C159" s="13"/>
      <c r="D159" s="13"/>
      <c r="E159" s="13"/>
      <c r="F159" s="13"/>
      <c r="G159" s="13"/>
      <c r="H159" s="13"/>
      <c r="I159" s="13"/>
      <c r="J159" s="18"/>
    </row>
    <row r="160" spans="1:10">
      <c r="A160" s="13"/>
      <c r="B160" s="13"/>
      <c r="C160" s="13"/>
      <c r="D160" s="13"/>
      <c r="E160" s="13"/>
      <c r="F160" s="13"/>
      <c r="G160" s="13"/>
      <c r="H160" s="13"/>
      <c r="I160" s="13"/>
      <c r="J160" s="18"/>
    </row>
    <row r="161" spans="1:10">
      <c r="A161" s="13"/>
      <c r="B161" s="13"/>
      <c r="C161" s="13"/>
      <c r="D161" s="13"/>
      <c r="E161" s="13"/>
      <c r="F161" s="13"/>
      <c r="G161" s="13"/>
      <c r="H161" s="13"/>
      <c r="I161" s="13"/>
      <c r="J161" s="18"/>
    </row>
    <row r="162" spans="1:10">
      <c r="A162" s="13"/>
      <c r="B162" s="13"/>
      <c r="C162" s="13"/>
      <c r="D162" s="13"/>
      <c r="E162" s="13"/>
      <c r="F162" s="13"/>
      <c r="G162" s="13"/>
      <c r="H162" s="13"/>
      <c r="I162" s="13"/>
      <c r="J162" s="18"/>
    </row>
    <row r="163" spans="1:10">
      <c r="A163" s="13"/>
      <c r="B163" s="13"/>
      <c r="C163" s="13"/>
      <c r="D163" s="13"/>
      <c r="E163" s="13"/>
      <c r="F163" s="13"/>
      <c r="G163" s="13"/>
      <c r="H163" s="13"/>
      <c r="I163" s="13"/>
      <c r="J163" s="18"/>
    </row>
    <row r="164" spans="1:10">
      <c r="A164" s="13"/>
      <c r="B164" s="13"/>
      <c r="C164" s="13"/>
      <c r="D164" s="13"/>
      <c r="E164" s="13"/>
      <c r="F164" s="13"/>
      <c r="G164" s="13"/>
      <c r="H164" s="13"/>
      <c r="I164" s="13"/>
      <c r="J164" s="18"/>
    </row>
    <row r="165" spans="1:10">
      <c r="A165" s="13"/>
      <c r="B165" s="13"/>
      <c r="C165" s="13"/>
      <c r="D165" s="13"/>
      <c r="E165" s="13"/>
      <c r="F165" s="13"/>
      <c r="G165" s="13"/>
      <c r="H165" s="13"/>
      <c r="I165" s="13"/>
      <c r="J165" s="18"/>
    </row>
    <row r="166" spans="1:10">
      <c r="A166" s="13"/>
      <c r="B166" s="13"/>
      <c r="C166" s="13"/>
      <c r="D166" s="13"/>
      <c r="E166" s="13"/>
      <c r="F166" s="13"/>
      <c r="G166" s="13"/>
      <c r="H166" s="13"/>
      <c r="I166" s="13"/>
      <c r="J166" s="18"/>
    </row>
    <row r="167" spans="1:10">
      <c r="A167" s="13"/>
      <c r="B167" s="13"/>
      <c r="C167" s="13"/>
      <c r="D167" s="13"/>
      <c r="E167" s="13"/>
      <c r="F167" s="13"/>
      <c r="G167" s="13"/>
      <c r="H167" s="13"/>
      <c r="I167" s="13"/>
      <c r="J167" s="18"/>
    </row>
    <row r="168" spans="1:10">
      <c r="A168" s="13"/>
      <c r="B168" s="13"/>
      <c r="C168" s="13"/>
      <c r="D168" s="13"/>
      <c r="E168" s="13"/>
      <c r="F168" s="13"/>
      <c r="G168" s="13"/>
      <c r="H168" s="13"/>
      <c r="I168" s="13"/>
      <c r="J168" s="18"/>
    </row>
    <row r="169" spans="1:10">
      <c r="A169" s="13"/>
      <c r="B169" s="13"/>
      <c r="C169" s="13"/>
      <c r="D169" s="13"/>
      <c r="E169" s="13"/>
      <c r="F169" s="13"/>
      <c r="G169" s="13"/>
      <c r="H169" s="13"/>
      <c r="I169" s="13"/>
      <c r="J169" s="18"/>
    </row>
    <row r="170" spans="1:10">
      <c r="A170" s="13"/>
      <c r="B170" s="13"/>
      <c r="C170" s="13"/>
      <c r="D170" s="13"/>
      <c r="E170" s="13"/>
      <c r="F170" s="13"/>
      <c r="G170" s="13"/>
      <c r="H170" s="13"/>
      <c r="I170" s="13"/>
      <c r="J170" s="18"/>
    </row>
    <row r="171" spans="1:10">
      <c r="A171" s="13"/>
      <c r="B171" s="13"/>
      <c r="C171" s="13"/>
      <c r="D171" s="13"/>
      <c r="E171" s="13"/>
      <c r="F171" s="13"/>
      <c r="G171" s="13"/>
      <c r="H171" s="13"/>
      <c r="I171" s="13"/>
      <c r="J171" s="18"/>
    </row>
    <row r="172" spans="1:10">
      <c r="A172" s="13"/>
      <c r="B172" s="13"/>
      <c r="C172" s="13"/>
      <c r="D172" s="13"/>
      <c r="E172" s="13"/>
      <c r="F172" s="13"/>
      <c r="G172" s="13"/>
      <c r="H172" s="13"/>
      <c r="I172" s="13"/>
      <c r="J172" s="18"/>
    </row>
    <row r="173" spans="1:10">
      <c r="A173" s="13"/>
      <c r="B173" s="13"/>
      <c r="C173" s="13"/>
      <c r="D173" s="13"/>
      <c r="E173" s="13"/>
      <c r="F173" s="13"/>
      <c r="G173" s="13"/>
      <c r="H173" s="13"/>
      <c r="I173" s="13"/>
      <c r="J173" s="18"/>
    </row>
    <row r="174" spans="1:10">
      <c r="A174" s="13"/>
      <c r="B174" s="13"/>
      <c r="C174" s="13"/>
      <c r="D174" s="13"/>
      <c r="E174" s="13"/>
      <c r="F174" s="13"/>
      <c r="G174" s="13"/>
      <c r="H174" s="13"/>
      <c r="I174" s="13"/>
      <c r="J174" s="18"/>
    </row>
    <row r="175" spans="1:10">
      <c r="A175" s="13"/>
      <c r="B175" s="13"/>
      <c r="C175" s="13"/>
      <c r="D175" s="13"/>
      <c r="E175" s="13"/>
      <c r="F175" s="13"/>
      <c r="G175" s="13"/>
      <c r="H175" s="13"/>
      <c r="I175" s="13"/>
      <c r="J175" s="18"/>
    </row>
    <row r="176" spans="1:10">
      <c r="A176" s="13"/>
      <c r="B176" s="13"/>
      <c r="C176" s="13"/>
      <c r="D176" s="13"/>
      <c r="E176" s="13"/>
      <c r="F176" s="13"/>
      <c r="G176" s="13"/>
      <c r="H176" s="13"/>
      <c r="I176" s="13"/>
      <c r="J176" s="18"/>
    </row>
    <row r="177" spans="1:10">
      <c r="A177" s="13"/>
      <c r="B177" s="13"/>
      <c r="C177" s="13"/>
      <c r="D177" s="13"/>
      <c r="E177" s="13"/>
      <c r="F177" s="13"/>
      <c r="G177" s="13"/>
      <c r="H177" s="13"/>
      <c r="I177" s="13"/>
      <c r="J177" s="18"/>
    </row>
    <row r="178" spans="1:10">
      <c r="A178" s="13"/>
      <c r="B178" s="13"/>
      <c r="C178" s="13"/>
      <c r="D178" s="13"/>
      <c r="E178" s="13"/>
      <c r="F178" s="13"/>
      <c r="G178" s="13"/>
      <c r="H178" s="13"/>
      <c r="I178" s="13"/>
      <c r="J178" s="18"/>
    </row>
    <row r="179" spans="1:10">
      <c r="A179" s="13"/>
      <c r="B179" s="13"/>
      <c r="C179" s="13"/>
      <c r="D179" s="13"/>
      <c r="E179" s="13"/>
      <c r="F179" s="13"/>
      <c r="G179" s="13"/>
      <c r="H179" s="13"/>
      <c r="I179" s="13"/>
      <c r="J179" s="18"/>
    </row>
    <row r="180" spans="1:10">
      <c r="A180" s="13"/>
      <c r="B180" s="13"/>
      <c r="C180" s="13"/>
      <c r="D180" s="13"/>
      <c r="E180" s="13"/>
      <c r="F180" s="13"/>
      <c r="G180" s="13"/>
      <c r="H180" s="13"/>
      <c r="I180" s="13"/>
      <c r="J180" s="18"/>
    </row>
    <row r="181" spans="1:10">
      <c r="A181" s="13"/>
      <c r="B181" s="13"/>
      <c r="C181" s="13"/>
      <c r="D181" s="13"/>
      <c r="E181" s="13"/>
      <c r="F181" s="13"/>
      <c r="G181" s="13"/>
      <c r="H181" s="13"/>
      <c r="I181" s="13"/>
      <c r="J181" s="18"/>
    </row>
    <row r="182" spans="1:10">
      <c r="A182" s="13"/>
      <c r="B182" s="13"/>
      <c r="C182" s="13"/>
      <c r="D182" s="13"/>
      <c r="E182" s="13"/>
      <c r="F182" s="13"/>
      <c r="G182" s="13"/>
      <c r="H182" s="13"/>
      <c r="I182" s="13"/>
      <c r="J182" s="18"/>
    </row>
    <row r="183" spans="1:10">
      <c r="A183" s="13"/>
      <c r="B183" s="13"/>
      <c r="C183" s="13"/>
      <c r="D183" s="13"/>
      <c r="E183" s="13"/>
      <c r="F183" s="13"/>
      <c r="G183" s="13"/>
      <c r="H183" s="13"/>
      <c r="I183" s="13"/>
      <c r="J183" s="18"/>
    </row>
    <row r="184" spans="1:10">
      <c r="A184" s="13"/>
      <c r="B184" s="13"/>
      <c r="C184" s="13"/>
      <c r="D184" s="13"/>
      <c r="E184" s="13"/>
      <c r="F184" s="13"/>
      <c r="G184" s="13"/>
      <c r="H184" s="13"/>
      <c r="I184" s="13"/>
      <c r="J184" s="18"/>
    </row>
    <row r="185" spans="1:10">
      <c r="A185" s="13"/>
      <c r="B185" s="13"/>
      <c r="C185" s="13"/>
      <c r="D185" s="13"/>
      <c r="E185" s="13"/>
      <c r="F185" s="13"/>
      <c r="G185" s="13"/>
      <c r="H185" s="13"/>
      <c r="I185" s="13"/>
      <c r="J185" s="18"/>
    </row>
    <row r="186" spans="1:10">
      <c r="A186" s="13"/>
      <c r="B186" s="13"/>
      <c r="C186" s="13"/>
      <c r="D186" s="13"/>
      <c r="E186" s="13"/>
      <c r="F186" s="13"/>
      <c r="G186" s="13"/>
      <c r="H186" s="13"/>
      <c r="I186" s="13"/>
      <c r="J186" s="18"/>
    </row>
    <row r="187" spans="1:10">
      <c r="A187" s="13"/>
      <c r="B187" s="13"/>
      <c r="C187" s="13"/>
      <c r="D187" s="13"/>
      <c r="E187" s="13"/>
      <c r="F187" s="13"/>
      <c r="G187" s="13"/>
      <c r="H187" s="13"/>
      <c r="I187" s="13"/>
      <c r="J187" s="18"/>
    </row>
    <row r="188" spans="1:10">
      <c r="A188" s="13"/>
      <c r="B188" s="13"/>
      <c r="C188" s="13"/>
      <c r="D188" s="13"/>
      <c r="E188" s="13"/>
      <c r="F188" s="13"/>
      <c r="G188" s="13"/>
      <c r="H188" s="13"/>
      <c r="I188" s="13"/>
      <c r="J188" s="18"/>
    </row>
    <row r="189" spans="1:10">
      <c r="A189" s="13"/>
      <c r="B189" s="13"/>
      <c r="C189" s="13"/>
      <c r="D189" s="13"/>
      <c r="E189" s="13"/>
      <c r="F189" s="13"/>
      <c r="G189" s="13"/>
      <c r="H189" s="13"/>
      <c r="I189" s="13"/>
      <c r="J189" s="18"/>
    </row>
    <row r="190" spans="1:10">
      <c r="A190" s="13"/>
      <c r="B190" s="13"/>
      <c r="C190" s="13"/>
      <c r="D190" s="13"/>
      <c r="E190" s="13"/>
      <c r="F190" s="13"/>
      <c r="G190" s="13"/>
      <c r="H190" s="13"/>
      <c r="I190" s="13"/>
      <c r="J190" s="18"/>
    </row>
    <row r="191" spans="1:10">
      <c r="A191" s="13"/>
      <c r="B191" s="13"/>
      <c r="C191" s="13"/>
      <c r="D191" s="13"/>
      <c r="E191" s="13"/>
      <c r="F191" s="13"/>
      <c r="G191" s="13"/>
      <c r="H191" s="13"/>
      <c r="I191" s="13"/>
      <c r="J191" s="18"/>
    </row>
    <row r="192" spans="1:10">
      <c r="A192" s="13"/>
      <c r="B192" s="13"/>
      <c r="C192" s="13"/>
      <c r="D192" s="13"/>
      <c r="E192" s="13"/>
      <c r="F192" s="13"/>
      <c r="G192" s="13"/>
      <c r="H192" s="13"/>
      <c r="I192" s="13"/>
      <c r="J192" s="18"/>
    </row>
    <row r="193" spans="1:10">
      <c r="A193" s="13"/>
      <c r="B193" s="13"/>
      <c r="C193" s="13"/>
      <c r="D193" s="13"/>
      <c r="E193" s="13"/>
      <c r="F193" s="13"/>
      <c r="G193" s="13"/>
      <c r="H193" s="13"/>
      <c r="I193" s="13"/>
      <c r="J193" s="18"/>
    </row>
    <row r="194" spans="1:10">
      <c r="A194" s="13"/>
      <c r="B194" s="13"/>
      <c r="C194" s="13"/>
      <c r="D194" s="13"/>
      <c r="E194" s="13"/>
      <c r="F194" s="13"/>
      <c r="G194" s="13"/>
      <c r="H194" s="13"/>
      <c r="I194" s="13"/>
      <c r="J194" s="18"/>
    </row>
    <row r="195" spans="1:10">
      <c r="A195" s="13"/>
      <c r="B195" s="13"/>
      <c r="C195" s="13"/>
      <c r="D195" s="13"/>
      <c r="E195" s="13"/>
      <c r="F195" s="13"/>
      <c r="G195" s="13"/>
      <c r="H195" s="13"/>
      <c r="I195" s="13"/>
      <c r="J195" s="18"/>
    </row>
    <row r="196" spans="1:10">
      <c r="A196" s="13"/>
      <c r="B196" s="13"/>
      <c r="C196" s="13"/>
      <c r="D196" s="13"/>
      <c r="E196" s="13"/>
      <c r="F196" s="13"/>
      <c r="G196" s="13"/>
      <c r="H196" s="13"/>
      <c r="I196" s="13"/>
      <c r="J196" s="18"/>
    </row>
    <row r="197" spans="1:10">
      <c r="A197" s="13"/>
      <c r="B197" s="13"/>
      <c r="C197" s="13"/>
      <c r="D197" s="13"/>
      <c r="E197" s="13"/>
      <c r="F197" s="13"/>
      <c r="G197" s="13"/>
      <c r="H197" s="13"/>
      <c r="I197" s="13"/>
      <c r="J197" s="18"/>
    </row>
    <row r="198" spans="1:10">
      <c r="A198" s="13"/>
      <c r="B198" s="13"/>
      <c r="C198" s="13"/>
      <c r="D198" s="13"/>
      <c r="E198" s="13"/>
      <c r="F198" s="13"/>
      <c r="G198" s="13"/>
      <c r="H198" s="13"/>
      <c r="I198" s="13"/>
      <c r="J198" s="18"/>
    </row>
    <row r="199" spans="1:10">
      <c r="A199" s="13"/>
      <c r="B199" s="13"/>
      <c r="C199" s="13"/>
      <c r="D199" s="13"/>
      <c r="E199" s="13"/>
      <c r="F199" s="13"/>
      <c r="G199" s="13"/>
      <c r="H199" s="13"/>
      <c r="I199" s="13"/>
      <c r="J199" s="18"/>
    </row>
    <row r="200" spans="1:10">
      <c r="A200" s="13"/>
      <c r="B200" s="13"/>
      <c r="C200" s="13"/>
      <c r="D200" s="13"/>
      <c r="E200" s="13"/>
      <c r="F200" s="13"/>
      <c r="G200" s="13"/>
      <c r="H200" s="13"/>
      <c r="I200" s="13"/>
      <c r="J200" s="18"/>
    </row>
    <row r="201" spans="1:10">
      <c r="A201" s="13"/>
      <c r="B201" s="13"/>
      <c r="C201" s="13"/>
      <c r="D201" s="13"/>
      <c r="E201" s="13"/>
      <c r="F201" s="13"/>
      <c r="G201" s="13"/>
      <c r="H201" s="13"/>
      <c r="I201" s="13"/>
      <c r="J201" s="18"/>
    </row>
    <row r="202" spans="1:10">
      <c r="A202" s="13"/>
      <c r="B202" s="13"/>
      <c r="C202" s="13"/>
      <c r="D202" s="13"/>
      <c r="E202" s="13"/>
      <c r="F202" s="13"/>
      <c r="G202" s="13"/>
      <c r="H202" s="13"/>
      <c r="I202" s="13"/>
      <c r="J202" s="18"/>
    </row>
    <row r="203" spans="1:10">
      <c r="A203" s="13"/>
      <c r="B203" s="13"/>
      <c r="C203" s="13"/>
      <c r="D203" s="13"/>
      <c r="E203" s="13"/>
      <c r="F203" s="13"/>
      <c r="G203" s="13"/>
      <c r="H203" s="13"/>
      <c r="I203" s="13"/>
      <c r="J203" s="18"/>
    </row>
    <row r="204" spans="1:10">
      <c r="A204" s="13"/>
      <c r="B204" s="13"/>
      <c r="C204" s="13"/>
      <c r="D204" s="13"/>
      <c r="E204" s="13"/>
      <c r="F204" s="13"/>
      <c r="G204" s="13"/>
      <c r="H204" s="13"/>
      <c r="I204" s="13"/>
      <c r="J204" s="18"/>
    </row>
    <row r="205" spans="1:10">
      <c r="A205" s="13"/>
      <c r="B205" s="13"/>
      <c r="C205" s="13"/>
      <c r="D205" s="13"/>
      <c r="E205" s="13"/>
      <c r="F205" s="13"/>
      <c r="G205" s="13"/>
      <c r="H205" s="13"/>
      <c r="I205" s="13"/>
      <c r="J205" s="18"/>
    </row>
    <row r="206" spans="1:10">
      <c r="A206" s="13"/>
      <c r="B206" s="13"/>
      <c r="C206" s="13"/>
      <c r="D206" s="13"/>
      <c r="E206" s="13"/>
      <c r="F206" s="13"/>
      <c r="G206" s="13"/>
      <c r="H206" s="13"/>
      <c r="I206" s="13"/>
      <c r="J206" s="18"/>
    </row>
    <row r="207" spans="1:10">
      <c r="A207" s="13"/>
      <c r="B207" s="13"/>
      <c r="C207" s="13"/>
      <c r="D207" s="13"/>
      <c r="E207" s="13"/>
      <c r="F207" s="13"/>
      <c r="G207" s="13"/>
      <c r="H207" s="13"/>
      <c r="I207" s="13"/>
      <c r="J207" s="18"/>
    </row>
    <row r="208" spans="1:10">
      <c r="A208" s="13"/>
      <c r="B208" s="13"/>
      <c r="C208" s="13"/>
      <c r="D208" s="13"/>
      <c r="E208" s="13"/>
      <c r="F208" s="13"/>
      <c r="G208" s="13"/>
      <c r="H208" s="13"/>
      <c r="I208" s="13"/>
      <c r="J208" s="18"/>
    </row>
    <row r="209" spans="1:10">
      <c r="A209" s="13"/>
      <c r="B209" s="13"/>
      <c r="C209" s="13"/>
      <c r="D209" s="13"/>
      <c r="E209" s="13"/>
      <c r="F209" s="13"/>
      <c r="G209" s="13"/>
      <c r="H209" s="13"/>
      <c r="I209" s="13"/>
      <c r="J209" s="18"/>
    </row>
    <row r="210" spans="1:10">
      <c r="A210" s="13"/>
      <c r="B210" s="13"/>
      <c r="C210" s="13"/>
      <c r="D210" s="13"/>
      <c r="E210" s="13"/>
      <c r="F210" s="13"/>
      <c r="G210" s="13"/>
      <c r="H210" s="13"/>
      <c r="I210" s="13"/>
      <c r="J210" s="18"/>
    </row>
    <row r="211" spans="1:10">
      <c r="A211" s="13"/>
      <c r="B211" s="13"/>
      <c r="C211" s="13"/>
      <c r="D211" s="13"/>
      <c r="E211" s="13"/>
      <c r="F211" s="13"/>
      <c r="G211" s="13"/>
      <c r="H211" s="13"/>
      <c r="I211" s="13"/>
      <c r="J211" s="18"/>
    </row>
    <row r="212" spans="1:10">
      <c r="A212" s="13"/>
      <c r="B212" s="13"/>
      <c r="C212" s="13"/>
      <c r="D212" s="13"/>
      <c r="E212" s="13"/>
      <c r="F212" s="13"/>
      <c r="G212" s="13"/>
      <c r="H212" s="13"/>
      <c r="I212" s="13"/>
      <c r="J212" s="18"/>
    </row>
    <row r="213" spans="1:10">
      <c r="A213" s="13"/>
      <c r="B213" s="13"/>
      <c r="C213" s="13"/>
      <c r="D213" s="13"/>
      <c r="E213" s="13"/>
      <c r="F213" s="13"/>
      <c r="G213" s="13"/>
      <c r="H213" s="13"/>
      <c r="I213" s="13"/>
      <c r="J213" s="18"/>
    </row>
    <row r="214" spans="1:10">
      <c r="A214" s="13"/>
      <c r="B214" s="13"/>
      <c r="C214" s="13"/>
      <c r="D214" s="13"/>
      <c r="E214" s="13"/>
      <c r="F214" s="13"/>
      <c r="G214" s="13"/>
      <c r="H214" s="13"/>
      <c r="I214" s="13"/>
      <c r="J214" s="18"/>
    </row>
    <row r="215" spans="1:10">
      <c r="A215" s="13"/>
      <c r="B215" s="13"/>
      <c r="C215" s="13"/>
      <c r="D215" s="13"/>
      <c r="E215" s="13"/>
      <c r="F215" s="13"/>
      <c r="G215" s="13"/>
      <c r="H215" s="13"/>
      <c r="I215" s="13"/>
      <c r="J215" s="18"/>
    </row>
    <row r="216" spans="1:10">
      <c r="A216" s="13"/>
      <c r="B216" s="13"/>
      <c r="C216" s="13"/>
      <c r="D216" s="13"/>
      <c r="E216" s="13"/>
      <c r="F216" s="13"/>
      <c r="G216" s="13"/>
      <c r="H216" s="13"/>
      <c r="I216" s="13"/>
      <c r="J216" s="18"/>
    </row>
    <row r="217" spans="1:10">
      <c r="A217" s="13"/>
      <c r="B217" s="13"/>
      <c r="C217" s="13"/>
      <c r="D217" s="13"/>
      <c r="E217" s="13"/>
      <c r="F217" s="13"/>
      <c r="G217" s="13"/>
      <c r="H217" s="13"/>
      <c r="I217" s="13"/>
      <c r="J217" s="18"/>
    </row>
    <row r="218" spans="1:10">
      <c r="A218" s="13"/>
      <c r="B218" s="13"/>
      <c r="C218" s="13"/>
      <c r="D218" s="13"/>
      <c r="E218" s="13"/>
      <c r="F218" s="13"/>
      <c r="G218" s="13"/>
      <c r="H218" s="13"/>
      <c r="I218" s="13"/>
      <c r="J218" s="18"/>
    </row>
    <row r="219" spans="1:10">
      <c r="A219" s="13"/>
      <c r="B219" s="13"/>
      <c r="C219" s="13"/>
      <c r="D219" s="13"/>
      <c r="E219" s="13"/>
      <c r="F219" s="13"/>
      <c r="G219" s="13"/>
      <c r="H219" s="13"/>
      <c r="I219" s="13"/>
      <c r="J219" s="18"/>
    </row>
    <row r="220" spans="1:10">
      <c r="A220" s="13"/>
      <c r="B220" s="13"/>
      <c r="C220" s="13"/>
      <c r="D220" s="13"/>
      <c r="E220" s="13"/>
      <c r="F220" s="13"/>
      <c r="G220" s="13"/>
      <c r="H220" s="13"/>
      <c r="I220" s="13"/>
      <c r="J220" s="18"/>
    </row>
    <row r="221" spans="1:10">
      <c r="A221" s="13"/>
      <c r="B221" s="13"/>
      <c r="C221" s="13"/>
      <c r="D221" s="13"/>
      <c r="E221" s="13"/>
      <c r="F221" s="13"/>
      <c r="G221" s="13"/>
      <c r="H221" s="13"/>
      <c r="I221" s="13"/>
      <c r="J221" s="18"/>
    </row>
    <row r="222" spans="1:10">
      <c r="A222" s="13"/>
      <c r="B222" s="13"/>
      <c r="C222" s="13"/>
      <c r="D222" s="13"/>
      <c r="E222" s="13"/>
      <c r="F222" s="13"/>
      <c r="G222" s="13"/>
      <c r="H222" s="13"/>
      <c r="I222" s="13"/>
      <c r="J222" s="18"/>
    </row>
    <row r="223" spans="1:10">
      <c r="A223" s="13"/>
      <c r="B223" s="13"/>
      <c r="C223" s="13"/>
      <c r="D223" s="13"/>
      <c r="E223" s="13"/>
      <c r="F223" s="13"/>
      <c r="G223" s="13"/>
      <c r="H223" s="13"/>
      <c r="I223" s="13"/>
      <c r="J223" s="18"/>
    </row>
    <row r="224" spans="1:10">
      <c r="A224" s="13"/>
      <c r="B224" s="13"/>
      <c r="C224" s="13"/>
      <c r="D224" s="13"/>
      <c r="E224" s="13"/>
      <c r="F224" s="13"/>
      <c r="G224" s="13"/>
      <c r="H224" s="13"/>
      <c r="I224" s="13"/>
      <c r="J224" s="18"/>
    </row>
    <row r="225" spans="1:10">
      <c r="A225" s="13"/>
      <c r="B225" s="13"/>
      <c r="C225" s="13"/>
      <c r="D225" s="13"/>
      <c r="E225" s="13"/>
      <c r="F225" s="13"/>
      <c r="G225" s="13"/>
      <c r="H225" s="13"/>
      <c r="I225" s="13"/>
      <c r="J225" s="18"/>
    </row>
    <row r="226" spans="1:10">
      <c r="A226" s="13"/>
      <c r="B226" s="13"/>
      <c r="C226" s="13"/>
      <c r="D226" s="13"/>
      <c r="E226" s="13"/>
      <c r="F226" s="13"/>
      <c r="G226" s="13"/>
      <c r="H226" s="13"/>
      <c r="I226" s="13"/>
      <c r="J226" s="18"/>
    </row>
    <row r="227" spans="1:10">
      <c r="A227" s="13"/>
      <c r="B227" s="13"/>
      <c r="C227" s="13"/>
      <c r="D227" s="13"/>
      <c r="E227" s="13"/>
      <c r="F227" s="13"/>
      <c r="G227" s="13"/>
      <c r="H227" s="13"/>
      <c r="I227" s="13"/>
      <c r="J227" s="18"/>
    </row>
    <row r="228" spans="1:10">
      <c r="A228" s="13"/>
      <c r="B228" s="13"/>
      <c r="C228" s="13"/>
      <c r="D228" s="13"/>
      <c r="E228" s="13"/>
      <c r="F228" s="13"/>
      <c r="G228" s="13"/>
      <c r="H228" s="13"/>
      <c r="I228" s="13"/>
      <c r="J228" s="18"/>
    </row>
    <row r="229" spans="1:10">
      <c r="A229" s="13"/>
      <c r="B229" s="13"/>
      <c r="C229" s="13"/>
      <c r="D229" s="13"/>
      <c r="E229" s="13"/>
      <c r="F229" s="13"/>
      <c r="G229" s="13"/>
      <c r="H229" s="13"/>
      <c r="I229" s="13"/>
      <c r="J229" s="18"/>
    </row>
    <row r="230" spans="1:10">
      <c r="A230" s="13"/>
      <c r="B230" s="13"/>
      <c r="C230" s="13"/>
      <c r="D230" s="13"/>
      <c r="E230" s="13"/>
      <c r="F230" s="13"/>
      <c r="G230" s="13"/>
      <c r="H230" s="13"/>
      <c r="I230" s="13"/>
      <c r="J230" s="18"/>
    </row>
    <row r="231" spans="1:10">
      <c r="A231" s="13"/>
      <c r="B231" s="13"/>
      <c r="C231" s="13"/>
      <c r="D231" s="13"/>
      <c r="E231" s="13"/>
      <c r="F231" s="13"/>
      <c r="G231" s="13"/>
      <c r="H231" s="13"/>
      <c r="I231" s="13"/>
      <c r="J231" s="18"/>
    </row>
    <row r="232" spans="1:10">
      <c r="A232" s="13"/>
      <c r="B232" s="13"/>
      <c r="C232" s="13"/>
      <c r="D232" s="13"/>
      <c r="E232" s="13"/>
      <c r="F232" s="13"/>
      <c r="G232" s="13"/>
      <c r="H232" s="13"/>
      <c r="I232" s="13"/>
      <c r="J232" s="18"/>
    </row>
    <row r="233" spans="1:10">
      <c r="A233" s="13"/>
      <c r="B233" s="13"/>
      <c r="C233" s="13"/>
      <c r="D233" s="13"/>
      <c r="E233" s="13"/>
      <c r="F233" s="13"/>
      <c r="G233" s="13"/>
      <c r="H233" s="13"/>
      <c r="I233" s="13"/>
      <c r="J233" s="18"/>
    </row>
    <row r="234" spans="1:10">
      <c r="A234" s="13"/>
      <c r="B234" s="13"/>
      <c r="C234" s="13"/>
      <c r="D234" s="13"/>
      <c r="E234" s="13"/>
      <c r="F234" s="13"/>
      <c r="G234" s="13"/>
      <c r="H234" s="13"/>
      <c r="I234" s="13"/>
      <c r="J234" s="18"/>
    </row>
    <row r="235" spans="1:10">
      <c r="A235" s="13"/>
      <c r="B235" s="13"/>
      <c r="C235" s="13"/>
      <c r="D235" s="13"/>
      <c r="E235" s="13"/>
      <c r="F235" s="13"/>
      <c r="G235" s="13"/>
      <c r="H235" s="13"/>
      <c r="I235" s="13"/>
      <c r="J235" s="18"/>
    </row>
    <row r="236" spans="1:10">
      <c r="A236" s="13"/>
      <c r="B236" s="13"/>
      <c r="C236" s="13"/>
      <c r="D236" s="13"/>
      <c r="E236" s="13"/>
      <c r="F236" s="13"/>
      <c r="G236" s="13"/>
      <c r="H236" s="13"/>
      <c r="I236" s="13"/>
      <c r="J236" s="18"/>
    </row>
    <row r="237" spans="1:10">
      <c r="A237" s="13"/>
      <c r="B237" s="13"/>
      <c r="C237" s="13"/>
      <c r="D237" s="13"/>
      <c r="E237" s="13"/>
      <c r="F237" s="13"/>
      <c r="G237" s="13"/>
      <c r="H237" s="13"/>
      <c r="I237" s="13"/>
      <c r="J237" s="18"/>
    </row>
    <row r="238" spans="1:10">
      <c r="A238" s="13"/>
      <c r="B238" s="13"/>
      <c r="C238" s="13"/>
      <c r="D238" s="13"/>
      <c r="E238" s="13"/>
      <c r="F238" s="13"/>
      <c r="G238" s="13"/>
      <c r="H238" s="13"/>
      <c r="I238" s="13"/>
      <c r="J238" s="18"/>
    </row>
    <row r="239" spans="1:10">
      <c r="A239" s="13"/>
      <c r="B239" s="13"/>
      <c r="C239" s="13"/>
      <c r="D239" s="13"/>
      <c r="E239" s="13"/>
      <c r="F239" s="13"/>
      <c r="G239" s="13"/>
      <c r="H239" s="13"/>
      <c r="I239" s="13"/>
      <c r="J239" s="18"/>
    </row>
    <row r="240" spans="1:10">
      <c r="A240" s="13"/>
      <c r="B240" s="13"/>
      <c r="C240" s="13"/>
      <c r="D240" s="13"/>
      <c r="E240" s="13"/>
      <c r="F240" s="13"/>
      <c r="G240" s="13"/>
      <c r="H240" s="13"/>
      <c r="I240" s="13"/>
      <c r="J240" s="18"/>
    </row>
    <row r="241" spans="1:10">
      <c r="A241" s="13"/>
      <c r="B241" s="13"/>
      <c r="C241" s="13"/>
      <c r="D241" s="13"/>
      <c r="E241" s="13"/>
      <c r="F241" s="13"/>
      <c r="G241" s="13"/>
      <c r="H241" s="13"/>
      <c r="I241" s="13"/>
      <c r="J241" s="18"/>
    </row>
    <row r="242" spans="1:10">
      <c r="A242" s="13"/>
      <c r="B242" s="13"/>
      <c r="C242" s="13"/>
      <c r="D242" s="13"/>
      <c r="E242" s="13"/>
      <c r="F242" s="13"/>
      <c r="G242" s="13"/>
      <c r="H242" s="13"/>
      <c r="I242" s="13"/>
      <c r="J242" s="18"/>
    </row>
    <row r="243" spans="1:10">
      <c r="A243" s="13"/>
      <c r="B243" s="13"/>
      <c r="C243" s="13"/>
      <c r="D243" s="13"/>
      <c r="E243" s="13"/>
      <c r="F243" s="13"/>
      <c r="G243" s="13"/>
      <c r="H243" s="13"/>
      <c r="I243" s="13"/>
      <c r="J243" s="18"/>
    </row>
    <row r="244" spans="1:10">
      <c r="A244" s="13"/>
      <c r="B244" s="13"/>
      <c r="C244" s="13"/>
      <c r="D244" s="13"/>
      <c r="E244" s="13"/>
      <c r="F244" s="13"/>
      <c r="G244" s="13"/>
      <c r="H244" s="13"/>
      <c r="I244" s="13"/>
      <c r="J244" s="18"/>
    </row>
    <row r="245" spans="1:10">
      <c r="A245" s="13"/>
      <c r="B245" s="13"/>
      <c r="C245" s="13"/>
      <c r="D245" s="13"/>
      <c r="E245" s="13"/>
      <c r="F245" s="13"/>
      <c r="G245" s="13"/>
      <c r="H245" s="13"/>
      <c r="I245" s="13"/>
      <c r="J245" s="18"/>
    </row>
    <row r="246" spans="1:10">
      <c r="A246" s="13"/>
      <c r="B246" s="13"/>
      <c r="C246" s="13"/>
      <c r="D246" s="13"/>
      <c r="E246" s="13"/>
      <c r="F246" s="13"/>
      <c r="G246" s="13"/>
      <c r="H246" s="13"/>
      <c r="I246" s="13"/>
      <c r="J246" s="18"/>
    </row>
    <row r="247" spans="1:10">
      <c r="A247" s="13"/>
      <c r="B247" s="13"/>
      <c r="C247" s="13"/>
      <c r="D247" s="13"/>
      <c r="E247" s="13"/>
      <c r="F247" s="13"/>
      <c r="G247" s="13"/>
      <c r="H247" s="13"/>
      <c r="I247" s="13"/>
      <c r="J247" s="18"/>
    </row>
    <row r="248" spans="1:10">
      <c r="A248" s="13"/>
      <c r="B248" s="13"/>
      <c r="C248" s="13"/>
      <c r="D248" s="13"/>
      <c r="E248" s="13"/>
      <c r="F248" s="13"/>
      <c r="G248" s="13"/>
      <c r="H248" s="13"/>
      <c r="I248" s="13"/>
      <c r="J248" s="18"/>
    </row>
    <row r="249" spans="1:10">
      <c r="A249" s="13"/>
      <c r="B249" s="13"/>
      <c r="C249" s="13"/>
      <c r="D249" s="13"/>
      <c r="E249" s="13"/>
      <c r="F249" s="13"/>
      <c r="G249" s="13"/>
      <c r="H249" s="13"/>
      <c r="I249" s="13"/>
      <c r="J249" s="18"/>
    </row>
    <row r="250" spans="1:10">
      <c r="A250" s="13"/>
      <c r="B250" s="13"/>
      <c r="C250" s="13"/>
      <c r="D250" s="13"/>
      <c r="E250" s="13"/>
      <c r="F250" s="13"/>
      <c r="G250" s="13"/>
      <c r="H250" s="13"/>
      <c r="I250" s="13"/>
      <c r="J250" s="18"/>
    </row>
    <row r="251" spans="1:10">
      <c r="A251" s="13"/>
      <c r="B251" s="13"/>
      <c r="C251" s="13"/>
      <c r="D251" s="13"/>
      <c r="E251" s="13"/>
      <c r="F251" s="13"/>
      <c r="G251" s="13"/>
      <c r="H251" s="13"/>
      <c r="I251" s="13"/>
      <c r="J251" s="18"/>
    </row>
    <row r="252" spans="1:10">
      <c r="A252" s="13"/>
      <c r="B252" s="13"/>
      <c r="C252" s="13"/>
      <c r="D252" s="13"/>
      <c r="E252" s="13"/>
      <c r="F252" s="13"/>
      <c r="G252" s="13"/>
      <c r="H252" s="13"/>
      <c r="I252" s="13"/>
      <c r="J252" s="18"/>
    </row>
    <row r="253" spans="1:10">
      <c r="A253" s="13"/>
      <c r="B253" s="13"/>
      <c r="C253" s="13"/>
      <c r="D253" s="13"/>
      <c r="E253" s="13"/>
      <c r="F253" s="13"/>
      <c r="G253" s="13"/>
      <c r="H253" s="13"/>
      <c r="I253" s="13"/>
      <c r="J253" s="18"/>
    </row>
    <row r="254" spans="1:10">
      <c r="A254" s="13"/>
      <c r="B254" s="13"/>
      <c r="C254" s="13"/>
      <c r="D254" s="13"/>
      <c r="E254" s="13"/>
      <c r="F254" s="13"/>
      <c r="G254" s="13"/>
      <c r="H254" s="13"/>
      <c r="I254" s="13"/>
      <c r="J254" s="18"/>
    </row>
    <row r="255" spans="1:10">
      <c r="A255" s="13"/>
      <c r="B255" s="13"/>
      <c r="C255" s="13"/>
      <c r="D255" s="13"/>
      <c r="E255" s="13"/>
      <c r="F255" s="13"/>
      <c r="G255" s="13"/>
      <c r="H255" s="13"/>
      <c r="I255" s="13"/>
      <c r="J255" s="18"/>
    </row>
    <row r="256" spans="1:10">
      <c r="A256" s="13"/>
      <c r="B256" s="13"/>
      <c r="C256" s="13"/>
      <c r="D256" s="13"/>
      <c r="E256" s="13"/>
      <c r="F256" s="13"/>
      <c r="G256" s="13"/>
      <c r="H256" s="13"/>
      <c r="I256" s="13"/>
      <c r="J256" s="18"/>
    </row>
    <row r="257" spans="1:10">
      <c r="A257" s="13"/>
      <c r="B257" s="13"/>
      <c r="C257" s="13"/>
      <c r="D257" s="13"/>
      <c r="E257" s="13"/>
      <c r="F257" s="13"/>
      <c r="G257" s="13"/>
      <c r="H257" s="13"/>
      <c r="I257" s="13"/>
      <c r="J257" s="18"/>
    </row>
    <row r="258" spans="1:10">
      <c r="A258" s="13"/>
      <c r="B258" s="13"/>
      <c r="C258" s="13"/>
      <c r="D258" s="13"/>
      <c r="E258" s="13"/>
      <c r="F258" s="13"/>
      <c r="G258" s="13"/>
      <c r="H258" s="13"/>
      <c r="I258" s="13"/>
      <c r="J258" s="18"/>
    </row>
    <row r="259" spans="1:10">
      <c r="A259" s="13"/>
      <c r="B259" s="13"/>
      <c r="C259" s="13"/>
      <c r="D259" s="13"/>
      <c r="E259" s="13"/>
      <c r="F259" s="13"/>
      <c r="G259" s="13"/>
      <c r="H259" s="13"/>
      <c r="I259" s="13"/>
      <c r="J259" s="18"/>
    </row>
    <row r="260" spans="1:10">
      <c r="A260" s="13"/>
      <c r="B260" s="13"/>
      <c r="C260" s="13"/>
      <c r="D260" s="13"/>
      <c r="E260" s="13"/>
      <c r="F260" s="13"/>
      <c r="G260" s="13"/>
      <c r="H260" s="13"/>
      <c r="I260" s="13"/>
      <c r="J260" s="18"/>
    </row>
    <row r="261" spans="1:10">
      <c r="A261" s="13"/>
      <c r="B261" s="13"/>
      <c r="C261" s="13"/>
      <c r="D261" s="13"/>
      <c r="E261" s="13"/>
      <c r="F261" s="13"/>
      <c r="G261" s="13"/>
      <c r="H261" s="13"/>
      <c r="I261" s="13"/>
      <c r="J261" s="18"/>
    </row>
    <row r="262" spans="1:10">
      <c r="A262" s="13"/>
      <c r="B262" s="13"/>
      <c r="C262" s="13"/>
      <c r="D262" s="13"/>
      <c r="E262" s="13"/>
      <c r="F262" s="13"/>
      <c r="G262" s="13"/>
      <c r="H262" s="13"/>
      <c r="I262" s="13"/>
      <c r="J262" s="18"/>
    </row>
    <row r="263" spans="1:10">
      <c r="A263" s="13"/>
      <c r="B263" s="13"/>
      <c r="C263" s="13"/>
      <c r="D263" s="13"/>
      <c r="E263" s="13"/>
      <c r="F263" s="13"/>
      <c r="G263" s="13"/>
      <c r="H263" s="13"/>
      <c r="I263" s="13"/>
      <c r="J263" s="18"/>
    </row>
    <row r="264" spans="1:10">
      <c r="A264" s="13"/>
      <c r="B264" s="13"/>
      <c r="C264" s="13"/>
      <c r="D264" s="13"/>
      <c r="E264" s="13"/>
      <c r="F264" s="13"/>
      <c r="G264" s="13"/>
      <c r="H264" s="13"/>
      <c r="I264" s="13"/>
      <c r="J264" s="18"/>
    </row>
    <row r="265" spans="1:10">
      <c r="A265" s="13"/>
      <c r="B265" s="13"/>
      <c r="C265" s="13"/>
      <c r="D265" s="13"/>
      <c r="E265" s="13"/>
      <c r="F265" s="13"/>
      <c r="G265" s="13"/>
      <c r="H265" s="13"/>
      <c r="I265" s="13"/>
      <c r="J265" s="18"/>
    </row>
    <row r="266" spans="1:10">
      <c r="A266" s="13"/>
      <c r="B266" s="13"/>
      <c r="C266" s="13"/>
      <c r="D266" s="13"/>
      <c r="E266" s="13"/>
      <c r="F266" s="13"/>
      <c r="G266" s="13"/>
      <c r="H266" s="13"/>
      <c r="I266" s="13"/>
      <c r="J266" s="18"/>
    </row>
    <row r="267" spans="1:10">
      <c r="A267" s="13"/>
      <c r="B267" s="13"/>
      <c r="C267" s="13"/>
      <c r="D267" s="13"/>
      <c r="E267" s="13"/>
      <c r="F267" s="13"/>
      <c r="G267" s="13"/>
      <c r="H267" s="13"/>
      <c r="I267" s="13"/>
      <c r="J267" s="18"/>
    </row>
    <row r="268" spans="1:10">
      <c r="A268" s="13"/>
      <c r="B268" s="13"/>
      <c r="C268" s="13"/>
      <c r="D268" s="13"/>
      <c r="E268" s="13"/>
      <c r="F268" s="13"/>
      <c r="G268" s="13"/>
      <c r="H268" s="13"/>
      <c r="I268" s="13"/>
      <c r="J268" s="18"/>
    </row>
    <row r="269" spans="1:10">
      <c r="A269" s="13"/>
      <c r="B269" s="13"/>
      <c r="C269" s="13"/>
      <c r="D269" s="13"/>
      <c r="E269" s="13"/>
      <c r="F269" s="13"/>
      <c r="G269" s="13"/>
      <c r="H269" s="13"/>
      <c r="I269" s="13"/>
      <c r="J269" s="18"/>
    </row>
    <row r="270" spans="1:10">
      <c r="A270" s="13"/>
      <c r="B270" s="13"/>
      <c r="C270" s="13"/>
      <c r="D270" s="13"/>
      <c r="E270" s="13"/>
      <c r="F270" s="13"/>
      <c r="G270" s="13"/>
      <c r="H270" s="13"/>
      <c r="I270" s="13"/>
      <c r="J270" s="18"/>
    </row>
    <row r="271" spans="1:10">
      <c r="A271" s="13"/>
      <c r="B271" s="13"/>
      <c r="C271" s="13"/>
      <c r="D271" s="13"/>
      <c r="E271" s="13"/>
      <c r="F271" s="13"/>
      <c r="G271" s="13"/>
      <c r="H271" s="13"/>
      <c r="I271" s="13"/>
      <c r="J271" s="18"/>
    </row>
    <row r="272" spans="1:10">
      <c r="A272" s="13"/>
      <c r="B272" s="13"/>
      <c r="C272" s="13"/>
      <c r="D272" s="13"/>
      <c r="E272" s="13"/>
      <c r="F272" s="13"/>
      <c r="G272" s="13"/>
      <c r="H272" s="13"/>
      <c r="I272" s="13"/>
      <c r="J272" s="18"/>
    </row>
    <row r="273" spans="1:10">
      <c r="A273" s="13"/>
      <c r="B273" s="13"/>
      <c r="C273" s="13"/>
      <c r="D273" s="13"/>
      <c r="E273" s="13"/>
      <c r="F273" s="13"/>
      <c r="G273" s="13"/>
      <c r="H273" s="13"/>
      <c r="I273" s="13"/>
      <c r="J273" s="18"/>
    </row>
    <row r="274" spans="1:10">
      <c r="A274" s="13"/>
      <c r="B274" s="13"/>
      <c r="C274" s="13"/>
      <c r="D274" s="13"/>
      <c r="E274" s="13"/>
      <c r="F274" s="13"/>
      <c r="G274" s="13"/>
      <c r="H274" s="13"/>
      <c r="I274" s="13"/>
      <c r="J274" s="18"/>
    </row>
    <row r="275" spans="1:10">
      <c r="A275" s="13"/>
      <c r="B275" s="13"/>
      <c r="C275" s="13"/>
      <c r="D275" s="13"/>
      <c r="E275" s="13"/>
      <c r="F275" s="13"/>
      <c r="G275" s="13"/>
      <c r="H275" s="13"/>
      <c r="I275" s="13"/>
      <c r="J275" s="18"/>
    </row>
    <row r="276" spans="1:10">
      <c r="A276" s="13"/>
      <c r="B276" s="13"/>
      <c r="C276" s="13"/>
      <c r="D276" s="13"/>
      <c r="E276" s="13"/>
      <c r="F276" s="13"/>
      <c r="G276" s="13"/>
      <c r="H276" s="13"/>
      <c r="I276" s="13"/>
      <c r="J276" s="18"/>
    </row>
    <row r="277" spans="1:10">
      <c r="A277" s="13"/>
      <c r="B277" s="13"/>
      <c r="C277" s="13"/>
      <c r="D277" s="13"/>
      <c r="E277" s="13"/>
      <c r="F277" s="13"/>
      <c r="G277" s="13"/>
      <c r="H277" s="13"/>
      <c r="I277" s="13"/>
      <c r="J277" s="18"/>
    </row>
    <row r="278" spans="1:10">
      <c r="A278" s="13"/>
      <c r="B278" s="13"/>
      <c r="C278" s="13"/>
      <c r="D278" s="13"/>
      <c r="E278" s="13"/>
      <c r="F278" s="13"/>
      <c r="G278" s="13"/>
      <c r="H278" s="13"/>
      <c r="I278" s="13"/>
      <c r="J278" s="18"/>
    </row>
    <row r="279" spans="1:10">
      <c r="A279" s="13"/>
      <c r="B279" s="13"/>
      <c r="C279" s="13"/>
      <c r="D279" s="13"/>
      <c r="E279" s="13"/>
      <c r="F279" s="13"/>
      <c r="G279" s="13"/>
      <c r="H279" s="13"/>
      <c r="I279" s="13"/>
      <c r="J279" s="18"/>
    </row>
    <row r="280" spans="1:10">
      <c r="A280" s="13"/>
      <c r="B280" s="13"/>
      <c r="C280" s="13"/>
      <c r="D280" s="13"/>
      <c r="E280" s="13"/>
      <c r="F280" s="13"/>
      <c r="G280" s="13"/>
      <c r="H280" s="13"/>
      <c r="I280" s="13"/>
      <c r="J280" s="18"/>
    </row>
    <row r="281" spans="1:10">
      <c r="A281" s="13"/>
      <c r="B281" s="13"/>
      <c r="C281" s="13"/>
      <c r="D281" s="13"/>
      <c r="E281" s="13"/>
      <c r="F281" s="13"/>
      <c r="G281" s="13"/>
      <c r="H281" s="13"/>
      <c r="I281" s="13"/>
      <c r="J281" s="18"/>
    </row>
    <row r="282" spans="1:10">
      <c r="A282" s="13"/>
      <c r="B282" s="13"/>
      <c r="C282" s="13"/>
      <c r="D282" s="13"/>
      <c r="E282" s="13"/>
      <c r="F282" s="13"/>
      <c r="G282" s="13"/>
      <c r="H282" s="13"/>
      <c r="I282" s="13"/>
      <c r="J282" s="18"/>
    </row>
    <row r="283" spans="1:10">
      <c r="A283" s="13"/>
      <c r="B283" s="13"/>
      <c r="C283" s="13"/>
      <c r="D283" s="13"/>
      <c r="E283" s="13"/>
      <c r="F283" s="13"/>
      <c r="G283" s="13"/>
      <c r="H283" s="13"/>
      <c r="I283" s="13"/>
      <c r="J283" s="18"/>
    </row>
    <row r="284" spans="1:10">
      <c r="A284" s="13"/>
      <c r="B284" s="13"/>
      <c r="C284" s="13"/>
      <c r="D284" s="13"/>
      <c r="E284" s="13"/>
      <c r="F284" s="13"/>
      <c r="G284" s="13"/>
      <c r="H284" s="13"/>
      <c r="I284" s="13"/>
      <c r="J284" s="18"/>
    </row>
    <row r="285" spans="1:10">
      <c r="A285" s="13"/>
      <c r="B285" s="13"/>
      <c r="C285" s="13"/>
      <c r="D285" s="13"/>
      <c r="E285" s="13"/>
      <c r="F285" s="13"/>
      <c r="G285" s="13"/>
      <c r="H285" s="13"/>
      <c r="I285" s="13"/>
      <c r="J285" s="18"/>
    </row>
    <row r="286" spans="1:10">
      <c r="A286" s="13"/>
      <c r="B286" s="13"/>
      <c r="C286" s="13"/>
      <c r="D286" s="13"/>
      <c r="E286" s="13"/>
      <c r="F286" s="13"/>
      <c r="G286" s="13"/>
      <c r="H286" s="13"/>
      <c r="I286" s="13"/>
      <c r="J286" s="18"/>
    </row>
    <row r="287" spans="1:10">
      <c r="A287" s="13"/>
      <c r="B287" s="13"/>
      <c r="C287" s="13"/>
      <c r="D287" s="13"/>
      <c r="E287" s="13"/>
      <c r="F287" s="13"/>
      <c r="G287" s="13"/>
      <c r="H287" s="13"/>
      <c r="I287" s="13"/>
      <c r="J287" s="18"/>
    </row>
    <row r="288" spans="1:10">
      <c r="A288" s="13"/>
      <c r="B288" s="13"/>
      <c r="C288" s="13"/>
      <c r="D288" s="13"/>
      <c r="E288" s="13"/>
      <c r="F288" s="13"/>
      <c r="G288" s="13"/>
      <c r="H288" s="13"/>
      <c r="I288" s="13"/>
      <c r="J288" s="18"/>
    </row>
    <row r="289" spans="1:10">
      <c r="A289" s="13"/>
      <c r="B289" s="13"/>
      <c r="C289" s="13"/>
      <c r="D289" s="13"/>
      <c r="E289" s="13"/>
      <c r="F289" s="13"/>
      <c r="G289" s="13"/>
      <c r="H289" s="13"/>
      <c r="I289" s="13"/>
      <c r="J289" s="18"/>
    </row>
    <row r="290" spans="1:10">
      <c r="A290" s="13"/>
      <c r="B290" s="13"/>
      <c r="C290" s="13"/>
      <c r="D290" s="13"/>
      <c r="E290" s="13"/>
      <c r="F290" s="13"/>
      <c r="G290" s="13"/>
      <c r="H290" s="13"/>
      <c r="I290" s="13"/>
      <c r="J290" s="18"/>
    </row>
    <row r="291" spans="1:10">
      <c r="A291" s="13"/>
      <c r="B291" s="13"/>
      <c r="C291" s="13"/>
      <c r="D291" s="13"/>
      <c r="E291" s="13"/>
      <c r="F291" s="13"/>
      <c r="G291" s="13"/>
      <c r="H291" s="13"/>
      <c r="I291" s="13"/>
      <c r="J291" s="18"/>
    </row>
    <row r="292" spans="1:10">
      <c r="A292" s="13"/>
      <c r="B292" s="13"/>
      <c r="C292" s="13"/>
      <c r="D292" s="13"/>
      <c r="E292" s="13"/>
      <c r="F292" s="13"/>
      <c r="G292" s="13"/>
      <c r="H292" s="13"/>
      <c r="I292" s="13"/>
      <c r="J292" s="18"/>
    </row>
    <row r="293" spans="1:10">
      <c r="A293" s="13"/>
      <c r="B293" s="13"/>
      <c r="C293" s="13"/>
      <c r="D293" s="13"/>
      <c r="E293" s="13"/>
      <c r="F293" s="13"/>
      <c r="G293" s="13"/>
      <c r="H293" s="13"/>
      <c r="I293" s="13"/>
      <c r="J293" s="18"/>
    </row>
    <row r="294" spans="1:10">
      <c r="A294" s="13"/>
      <c r="B294" s="13"/>
      <c r="C294" s="13"/>
      <c r="D294" s="13"/>
      <c r="E294" s="13"/>
      <c r="F294" s="13"/>
      <c r="G294" s="13"/>
      <c r="H294" s="13"/>
      <c r="I294" s="13"/>
      <c r="J294" s="18"/>
    </row>
    <row r="295" spans="1:10">
      <c r="A295" s="13"/>
      <c r="B295" s="13"/>
      <c r="C295" s="13"/>
      <c r="D295" s="13"/>
      <c r="E295" s="13"/>
      <c r="F295" s="13"/>
      <c r="G295" s="13"/>
      <c r="H295" s="13"/>
      <c r="I295" s="13"/>
      <c r="J295" s="18"/>
    </row>
    <row r="296" spans="1:10">
      <c r="A296" s="13"/>
      <c r="B296" s="13"/>
      <c r="C296" s="13"/>
      <c r="D296" s="13"/>
      <c r="E296" s="13"/>
      <c r="F296" s="13"/>
      <c r="G296" s="13"/>
      <c r="H296" s="13"/>
      <c r="I296" s="13"/>
      <c r="J296" s="18"/>
    </row>
    <row r="297" spans="1:10">
      <c r="A297" s="13"/>
      <c r="B297" s="13"/>
      <c r="C297" s="13"/>
      <c r="D297" s="13"/>
      <c r="E297" s="13"/>
      <c r="F297" s="13"/>
      <c r="G297" s="13"/>
      <c r="H297" s="13"/>
      <c r="I297" s="13"/>
      <c r="J297" s="18"/>
    </row>
    <row r="298" spans="1:10">
      <c r="A298" s="13"/>
      <c r="B298" s="13"/>
      <c r="C298" s="13"/>
      <c r="D298" s="13"/>
      <c r="E298" s="13"/>
      <c r="F298" s="13"/>
      <c r="G298" s="13"/>
      <c r="H298" s="13"/>
      <c r="I298" s="13"/>
      <c r="J298" s="18"/>
    </row>
    <row r="299" spans="1:10">
      <c r="A299" s="13"/>
      <c r="B299" s="13"/>
      <c r="C299" s="13"/>
      <c r="D299" s="13"/>
      <c r="E299" s="13"/>
      <c r="F299" s="13"/>
      <c r="G299" s="13"/>
      <c r="H299" s="13"/>
      <c r="I299" s="13"/>
      <c r="J299" s="18"/>
    </row>
    <row r="300" spans="1:10">
      <c r="A300" s="13"/>
      <c r="B300" s="13"/>
      <c r="C300" s="13"/>
      <c r="D300" s="13"/>
      <c r="E300" s="13"/>
      <c r="F300" s="13"/>
      <c r="G300" s="13"/>
      <c r="H300" s="13"/>
      <c r="I300" s="13"/>
      <c r="J300" s="18"/>
    </row>
    <row r="301" spans="1:10">
      <c r="A301" s="13"/>
      <c r="B301" s="13"/>
      <c r="C301" s="13"/>
      <c r="D301" s="13"/>
      <c r="E301" s="13"/>
      <c r="F301" s="13"/>
      <c r="G301" s="13"/>
      <c r="H301" s="13"/>
      <c r="I301" s="13"/>
      <c r="J301" s="18"/>
    </row>
    <row r="302" spans="1:10">
      <c r="A302" s="13"/>
      <c r="B302" s="13"/>
      <c r="C302" s="13"/>
      <c r="D302" s="13"/>
      <c r="E302" s="13"/>
      <c r="F302" s="13"/>
      <c r="G302" s="13"/>
      <c r="H302" s="13"/>
      <c r="I302" s="13"/>
      <c r="J302" s="18"/>
    </row>
    <row r="303" spans="1:10">
      <c r="A303" s="13"/>
      <c r="B303" s="13"/>
      <c r="C303" s="13"/>
      <c r="D303" s="13"/>
      <c r="E303" s="13"/>
      <c r="F303" s="13"/>
      <c r="G303" s="13"/>
      <c r="H303" s="13"/>
      <c r="I303" s="13"/>
      <c r="J303" s="18"/>
    </row>
    <row r="304" spans="1:10">
      <c r="A304" s="13"/>
      <c r="B304" s="13"/>
      <c r="C304" s="13"/>
      <c r="D304" s="13"/>
      <c r="E304" s="13"/>
      <c r="F304" s="13"/>
      <c r="G304" s="13"/>
      <c r="H304" s="13"/>
      <c r="I304" s="13"/>
      <c r="J304" s="18"/>
    </row>
    <row r="305" spans="1:10">
      <c r="A305" s="13"/>
      <c r="B305" s="13"/>
      <c r="C305" s="13"/>
      <c r="D305" s="13"/>
      <c r="E305" s="13"/>
      <c r="F305" s="13"/>
      <c r="G305" s="13"/>
      <c r="H305" s="13"/>
      <c r="I305" s="13"/>
      <c r="J305" s="18"/>
    </row>
    <row r="306" spans="1:10">
      <c r="A306" s="13"/>
      <c r="B306" s="13"/>
      <c r="C306" s="13"/>
      <c r="D306" s="13"/>
      <c r="E306" s="13"/>
      <c r="F306" s="13"/>
      <c r="G306" s="13"/>
      <c r="H306" s="13"/>
      <c r="I306" s="13"/>
      <c r="J306" s="18"/>
    </row>
    <row r="307" spans="1:10">
      <c r="A307" s="13"/>
      <c r="B307" s="13"/>
      <c r="C307" s="13"/>
      <c r="D307" s="13"/>
      <c r="E307" s="13"/>
      <c r="F307" s="13"/>
      <c r="G307" s="13"/>
      <c r="H307" s="13"/>
      <c r="I307" s="13"/>
      <c r="J307" s="18"/>
    </row>
    <row r="308" spans="1:10">
      <c r="A308" s="13"/>
      <c r="B308" s="13"/>
      <c r="C308" s="13"/>
      <c r="D308" s="13"/>
      <c r="E308" s="13"/>
      <c r="F308" s="13"/>
      <c r="G308" s="13"/>
      <c r="H308" s="13"/>
      <c r="I308" s="13"/>
      <c r="J308" s="18"/>
    </row>
    <row r="309" spans="1:10">
      <c r="A309" s="13"/>
      <c r="B309" s="13"/>
      <c r="C309" s="13"/>
      <c r="D309" s="13"/>
      <c r="E309" s="13"/>
      <c r="F309" s="13"/>
      <c r="G309" s="13"/>
      <c r="H309" s="13"/>
      <c r="I309" s="13"/>
      <c r="J309" s="18"/>
    </row>
    <row r="310" spans="1:10">
      <c r="A310" s="13"/>
      <c r="B310" s="13"/>
      <c r="C310" s="13"/>
      <c r="D310" s="13"/>
      <c r="E310" s="13"/>
      <c r="F310" s="13"/>
      <c r="G310" s="13"/>
      <c r="H310" s="13"/>
      <c r="I310" s="13"/>
      <c r="J310" s="18"/>
    </row>
    <row r="311" spans="1:10">
      <c r="A311" s="13"/>
      <c r="B311" s="13"/>
      <c r="C311" s="13"/>
      <c r="D311" s="13"/>
      <c r="E311" s="13"/>
      <c r="F311" s="13"/>
      <c r="G311" s="13"/>
      <c r="H311" s="13"/>
      <c r="I311" s="13"/>
      <c r="J311" s="18"/>
    </row>
    <row r="312" spans="1:10">
      <c r="A312" s="13"/>
      <c r="B312" s="13"/>
      <c r="C312" s="13"/>
      <c r="D312" s="13"/>
      <c r="E312" s="13"/>
      <c r="F312" s="13"/>
      <c r="G312" s="13"/>
      <c r="H312" s="13"/>
      <c r="I312" s="13"/>
      <c r="J312" s="18"/>
    </row>
    <row r="313" spans="1:10">
      <c r="A313" s="13"/>
      <c r="B313" s="13"/>
      <c r="C313" s="13"/>
      <c r="D313" s="13"/>
      <c r="E313" s="13"/>
      <c r="F313" s="13"/>
      <c r="G313" s="13"/>
      <c r="H313" s="13"/>
      <c r="I313" s="13"/>
      <c r="J313" s="18"/>
    </row>
    <row r="314" spans="1:10">
      <c r="A314" s="13"/>
      <c r="B314" s="13"/>
      <c r="C314" s="13"/>
      <c r="D314" s="13"/>
      <c r="E314" s="13"/>
      <c r="F314" s="13"/>
      <c r="G314" s="13"/>
      <c r="H314" s="13"/>
      <c r="I314" s="13"/>
      <c r="J314" s="18"/>
    </row>
    <row r="315" spans="1:10">
      <c r="A315" s="13"/>
      <c r="B315" s="13"/>
      <c r="C315" s="13"/>
      <c r="D315" s="13"/>
      <c r="E315" s="13"/>
      <c r="F315" s="13"/>
      <c r="G315" s="13"/>
      <c r="H315" s="13"/>
      <c r="I315" s="13"/>
      <c r="J315" s="18"/>
    </row>
    <row r="316" spans="1:10">
      <c r="A316" s="13"/>
      <c r="B316" s="13"/>
      <c r="C316" s="13"/>
      <c r="D316" s="13"/>
      <c r="E316" s="13"/>
      <c r="F316" s="13"/>
      <c r="G316" s="13"/>
      <c r="H316" s="13"/>
      <c r="I316" s="13"/>
      <c r="J316" s="18"/>
    </row>
    <row r="317" spans="1:10">
      <c r="A317" s="13"/>
      <c r="B317" s="13"/>
      <c r="C317" s="13"/>
      <c r="D317" s="13"/>
      <c r="E317" s="13"/>
      <c r="F317" s="13"/>
      <c r="G317" s="13"/>
      <c r="H317" s="13"/>
      <c r="I317" s="13"/>
      <c r="J317" s="18"/>
    </row>
    <row r="318" spans="1:10">
      <c r="A318" s="13"/>
      <c r="B318" s="13"/>
      <c r="C318" s="13"/>
      <c r="D318" s="13"/>
      <c r="E318" s="13"/>
      <c r="F318" s="13"/>
      <c r="G318" s="13"/>
      <c r="H318" s="13"/>
      <c r="I318" s="13"/>
      <c r="J318" s="18"/>
    </row>
    <row r="319" spans="1:10">
      <c r="A319" s="13"/>
      <c r="B319" s="13"/>
      <c r="C319" s="13"/>
      <c r="D319" s="13"/>
      <c r="E319" s="13"/>
      <c r="F319" s="13"/>
      <c r="G319" s="13"/>
      <c r="H319" s="13"/>
      <c r="I319" s="13"/>
      <c r="J319" s="18"/>
    </row>
    <row r="320" spans="1:10">
      <c r="A320" s="13"/>
      <c r="B320" s="13"/>
      <c r="C320" s="13"/>
      <c r="D320" s="13"/>
      <c r="E320" s="13"/>
      <c r="F320" s="13"/>
      <c r="G320" s="13"/>
      <c r="H320" s="13"/>
      <c r="I320" s="13"/>
      <c r="J320" s="18"/>
    </row>
    <row r="321" spans="1:10">
      <c r="A321" s="13"/>
      <c r="B321" s="13"/>
      <c r="C321" s="13"/>
      <c r="D321" s="13"/>
      <c r="E321" s="13"/>
      <c r="F321" s="13"/>
      <c r="G321" s="13"/>
      <c r="H321" s="13"/>
      <c r="I321" s="13"/>
      <c r="J321" s="18"/>
    </row>
    <row r="322" spans="1:10">
      <c r="A322" s="13"/>
      <c r="B322" s="13"/>
      <c r="C322" s="13"/>
      <c r="D322" s="13"/>
      <c r="E322" s="13"/>
      <c r="F322" s="13"/>
      <c r="G322" s="13"/>
      <c r="H322" s="13"/>
      <c r="I322" s="13"/>
      <c r="J322" s="18"/>
    </row>
    <row r="323" spans="1:10">
      <c r="A323" s="13"/>
      <c r="B323" s="13"/>
      <c r="C323" s="13"/>
      <c r="D323" s="13"/>
      <c r="E323" s="13"/>
      <c r="F323" s="13"/>
      <c r="G323" s="13"/>
      <c r="H323" s="13"/>
      <c r="I323" s="13"/>
      <c r="J323" s="18"/>
    </row>
    <row r="324" spans="1:10">
      <c r="A324" s="13"/>
      <c r="B324" s="13"/>
      <c r="C324" s="13"/>
      <c r="D324" s="13"/>
      <c r="E324" s="13"/>
      <c r="F324" s="13"/>
      <c r="G324" s="13"/>
      <c r="H324" s="13"/>
      <c r="I324" s="13"/>
      <c r="J324" s="18"/>
    </row>
    <row r="325" spans="1:10">
      <c r="A325" s="13"/>
      <c r="B325" s="13"/>
      <c r="C325" s="13"/>
      <c r="D325" s="13"/>
      <c r="E325" s="13"/>
      <c r="F325" s="13"/>
      <c r="G325" s="13"/>
      <c r="H325" s="13"/>
      <c r="I325" s="13"/>
      <c r="J325" s="18"/>
    </row>
    <row r="326" spans="1:10">
      <c r="A326" s="13"/>
      <c r="B326" s="13"/>
      <c r="C326" s="13"/>
      <c r="D326" s="13"/>
      <c r="E326" s="13"/>
      <c r="F326" s="13"/>
      <c r="G326" s="13"/>
      <c r="H326" s="13"/>
      <c r="I326" s="13"/>
      <c r="J326" s="18"/>
    </row>
    <row r="327" spans="1:10">
      <c r="A327" s="13"/>
      <c r="B327" s="13"/>
      <c r="C327" s="13"/>
      <c r="D327" s="13"/>
      <c r="E327" s="13"/>
      <c r="F327" s="13"/>
      <c r="G327" s="13"/>
      <c r="H327" s="13"/>
      <c r="I327" s="13"/>
      <c r="J327" s="18"/>
    </row>
    <row r="328" spans="1:10">
      <c r="A328" s="13"/>
      <c r="B328" s="13"/>
      <c r="C328" s="13"/>
      <c r="D328" s="13"/>
      <c r="E328" s="13"/>
      <c r="F328" s="13"/>
      <c r="G328" s="13"/>
      <c r="H328" s="13"/>
      <c r="I328" s="13"/>
      <c r="J328" s="18"/>
    </row>
    <row r="329" spans="1:10">
      <c r="A329" s="13"/>
      <c r="B329" s="13"/>
      <c r="C329" s="13"/>
      <c r="D329" s="13"/>
      <c r="E329" s="13"/>
      <c r="F329" s="13"/>
      <c r="G329" s="13"/>
      <c r="H329" s="13"/>
      <c r="I329" s="13"/>
      <c r="J329" s="18"/>
    </row>
    <row r="330" spans="1:10">
      <c r="A330" s="13"/>
      <c r="B330" s="13"/>
      <c r="C330" s="13"/>
      <c r="D330" s="13"/>
      <c r="E330" s="13"/>
      <c r="F330" s="13"/>
      <c r="G330" s="13"/>
      <c r="H330" s="13"/>
      <c r="I330" s="13"/>
      <c r="J330" s="18"/>
    </row>
    <row r="331" spans="1:10">
      <c r="A331" s="13"/>
      <c r="B331" s="13"/>
      <c r="C331" s="13"/>
      <c r="D331" s="13"/>
      <c r="E331" s="13"/>
      <c r="F331" s="13"/>
      <c r="G331" s="13"/>
      <c r="H331" s="13"/>
      <c r="I331" s="13"/>
      <c r="J331" s="18"/>
    </row>
    <row r="332" spans="1:10">
      <c r="A332" s="13"/>
      <c r="B332" s="13"/>
      <c r="C332" s="13"/>
      <c r="D332" s="13"/>
      <c r="E332" s="13"/>
      <c r="F332" s="13"/>
      <c r="G332" s="13"/>
      <c r="H332" s="13"/>
      <c r="I332" s="13"/>
      <c r="J332" s="18"/>
    </row>
    <row r="333" spans="1:10">
      <c r="A333" s="13"/>
      <c r="B333" s="13"/>
      <c r="C333" s="13"/>
      <c r="D333" s="13"/>
      <c r="E333" s="13"/>
      <c r="F333" s="13"/>
      <c r="G333" s="13"/>
      <c r="H333" s="13"/>
      <c r="I333" s="13"/>
      <c r="J333" s="18"/>
    </row>
    <row r="334" spans="1:10">
      <c r="A334" s="13"/>
      <c r="B334" s="13"/>
      <c r="C334" s="13"/>
      <c r="D334" s="13"/>
      <c r="E334" s="13"/>
      <c r="F334" s="13"/>
      <c r="G334" s="13"/>
      <c r="H334" s="13"/>
      <c r="I334" s="13"/>
      <c r="J334" s="18"/>
    </row>
    <row r="335" spans="1:10">
      <c r="A335" s="13"/>
      <c r="B335" s="13"/>
      <c r="C335" s="13"/>
      <c r="D335" s="13"/>
      <c r="E335" s="13"/>
      <c r="F335" s="13"/>
      <c r="G335" s="13"/>
      <c r="H335" s="13"/>
      <c r="I335" s="13"/>
      <c r="J335" s="18"/>
    </row>
    <row r="336" spans="1:10">
      <c r="A336" s="13"/>
      <c r="B336" s="13"/>
      <c r="C336" s="13"/>
      <c r="D336" s="13"/>
      <c r="E336" s="13"/>
      <c r="F336" s="13"/>
      <c r="G336" s="13"/>
      <c r="H336" s="13"/>
      <c r="I336" s="13"/>
      <c r="J336" s="18"/>
    </row>
    <row r="337" spans="1:10">
      <c r="A337" s="13"/>
      <c r="B337" s="13"/>
      <c r="C337" s="13"/>
      <c r="D337" s="13"/>
      <c r="E337" s="13"/>
      <c r="F337" s="13"/>
      <c r="G337" s="13"/>
      <c r="H337" s="13"/>
      <c r="I337" s="13"/>
      <c r="J337" s="18"/>
    </row>
    <row r="338" spans="1:10">
      <c r="A338" s="13"/>
      <c r="B338" s="13"/>
      <c r="C338" s="13"/>
      <c r="D338" s="13"/>
      <c r="E338" s="13"/>
      <c r="F338" s="13"/>
      <c r="G338" s="13"/>
      <c r="H338" s="13"/>
      <c r="I338" s="13"/>
      <c r="J338" s="18"/>
    </row>
    <row r="339" spans="1:10">
      <c r="A339" s="13"/>
      <c r="B339" s="13"/>
      <c r="C339" s="13"/>
      <c r="D339" s="13"/>
      <c r="E339" s="13"/>
      <c r="F339" s="13"/>
      <c r="G339" s="13"/>
      <c r="H339" s="13"/>
      <c r="I339" s="13"/>
      <c r="J339" s="18"/>
    </row>
    <row r="340" spans="1:10">
      <c r="A340" s="13"/>
      <c r="B340" s="13"/>
      <c r="C340" s="13"/>
      <c r="D340" s="13"/>
      <c r="E340" s="13"/>
      <c r="F340" s="13"/>
      <c r="G340" s="13"/>
      <c r="H340" s="13"/>
      <c r="I340" s="13"/>
      <c r="J340" s="18"/>
    </row>
    <row r="341" spans="1:10">
      <c r="A341" s="13"/>
      <c r="B341" s="13"/>
      <c r="C341" s="13"/>
      <c r="D341" s="13"/>
      <c r="E341" s="13"/>
      <c r="F341" s="13"/>
      <c r="G341" s="13"/>
      <c r="H341" s="13"/>
      <c r="I341" s="13"/>
      <c r="J341" s="18"/>
    </row>
    <row r="342" spans="1:10">
      <c r="A342" s="13"/>
      <c r="B342" s="13"/>
      <c r="C342" s="13"/>
      <c r="D342" s="13"/>
      <c r="E342" s="13"/>
      <c r="F342" s="13"/>
      <c r="G342" s="13"/>
      <c r="H342" s="13"/>
      <c r="I342" s="13"/>
      <c r="J342" s="18"/>
    </row>
    <row r="343" spans="1:10">
      <c r="A343" s="13"/>
      <c r="B343" s="13"/>
      <c r="C343" s="13"/>
      <c r="D343" s="13"/>
      <c r="E343" s="13"/>
      <c r="F343" s="13"/>
      <c r="G343" s="13"/>
      <c r="H343" s="13"/>
      <c r="I343" s="13"/>
      <c r="J343" s="18"/>
    </row>
    <row r="344" spans="1:10">
      <c r="A344" s="13"/>
      <c r="B344" s="13"/>
      <c r="C344" s="13"/>
      <c r="D344" s="13"/>
      <c r="E344" s="13"/>
      <c r="F344" s="13"/>
      <c r="G344" s="13"/>
      <c r="H344" s="13"/>
      <c r="I344" s="13"/>
      <c r="J344" s="18"/>
    </row>
    <row r="345" spans="1:10">
      <c r="A345" s="13"/>
      <c r="B345" s="13"/>
      <c r="C345" s="13"/>
      <c r="D345" s="13"/>
      <c r="E345" s="13"/>
      <c r="F345" s="13"/>
      <c r="G345" s="13"/>
      <c r="H345" s="13"/>
      <c r="I345" s="13"/>
      <c r="J345" s="18"/>
    </row>
    <row r="346" spans="1:10">
      <c r="A346" s="13"/>
      <c r="B346" s="13"/>
      <c r="C346" s="13"/>
      <c r="D346" s="13"/>
      <c r="E346" s="13"/>
      <c r="F346" s="13"/>
      <c r="G346" s="13"/>
      <c r="H346" s="13"/>
      <c r="I346" s="13"/>
      <c r="J346" s="18"/>
    </row>
    <row r="347" spans="1:10">
      <c r="A347" s="13"/>
      <c r="B347" s="13"/>
      <c r="C347" s="13"/>
      <c r="D347" s="13"/>
      <c r="E347" s="13"/>
      <c r="F347" s="13"/>
      <c r="G347" s="13"/>
      <c r="H347" s="13"/>
      <c r="I347" s="13"/>
      <c r="J347" s="18"/>
    </row>
    <row r="348" spans="1:10">
      <c r="A348" s="13"/>
      <c r="B348" s="13"/>
      <c r="C348" s="13"/>
      <c r="D348" s="13"/>
      <c r="E348" s="13"/>
      <c r="F348" s="13"/>
      <c r="G348" s="13"/>
      <c r="H348" s="13"/>
      <c r="I348" s="13"/>
      <c r="J348" s="18"/>
    </row>
    <row r="349" spans="1:10">
      <c r="A349" s="13"/>
      <c r="B349" s="13"/>
      <c r="C349" s="13"/>
      <c r="D349" s="13"/>
      <c r="E349" s="13"/>
      <c r="F349" s="13"/>
      <c r="G349" s="13"/>
      <c r="H349" s="13"/>
      <c r="I349" s="13"/>
      <c r="J349" s="18"/>
    </row>
    <row r="350" spans="1:10">
      <c r="A350" s="13"/>
      <c r="B350" s="13"/>
      <c r="C350" s="13"/>
      <c r="D350" s="13"/>
      <c r="E350" s="13"/>
      <c r="F350" s="13"/>
      <c r="G350" s="13"/>
      <c r="H350" s="13"/>
      <c r="I350" s="13"/>
      <c r="J350" s="18"/>
    </row>
    <row r="351" spans="1:10">
      <c r="A351" s="13"/>
      <c r="B351" s="13"/>
      <c r="C351" s="13"/>
      <c r="D351" s="13"/>
      <c r="E351" s="13"/>
      <c r="F351" s="13"/>
      <c r="G351" s="13"/>
      <c r="H351" s="13"/>
      <c r="I351" s="13"/>
      <c r="J351" s="18"/>
    </row>
    <row r="352" spans="1:10">
      <c r="A352" s="13"/>
      <c r="B352" s="13"/>
      <c r="C352" s="13"/>
      <c r="D352" s="13"/>
      <c r="E352" s="13"/>
      <c r="F352" s="13"/>
      <c r="G352" s="13"/>
      <c r="H352" s="13"/>
      <c r="I352" s="13"/>
      <c r="J352" s="18"/>
    </row>
    <row r="353" spans="1:10">
      <c r="A353" s="13"/>
      <c r="B353" s="13"/>
      <c r="C353" s="13"/>
      <c r="D353" s="13"/>
      <c r="E353" s="13"/>
      <c r="F353" s="13"/>
      <c r="G353" s="13"/>
      <c r="H353" s="13"/>
      <c r="I353" s="13"/>
      <c r="J353" s="18"/>
    </row>
    <row r="354" spans="1:10">
      <c r="A354" s="13"/>
      <c r="B354" s="13"/>
      <c r="C354" s="13"/>
      <c r="D354" s="13"/>
      <c r="E354" s="13"/>
      <c r="F354" s="13"/>
      <c r="G354" s="13"/>
      <c r="H354" s="13"/>
      <c r="I354" s="13"/>
      <c r="J354" s="18"/>
    </row>
    <row r="355" spans="1:10">
      <c r="A355" s="13"/>
      <c r="B355" s="13"/>
      <c r="C355" s="13"/>
      <c r="D355" s="13"/>
      <c r="E355" s="13"/>
      <c r="F355" s="13"/>
      <c r="G355" s="13"/>
      <c r="H355" s="13"/>
      <c r="I355" s="13"/>
      <c r="J355" s="18"/>
    </row>
    <row r="356" spans="1:10">
      <c r="A356" s="13"/>
      <c r="B356" s="13"/>
      <c r="C356" s="13"/>
      <c r="D356" s="13"/>
      <c r="E356" s="13"/>
      <c r="F356" s="13"/>
      <c r="G356" s="13"/>
      <c r="H356" s="13"/>
      <c r="I356" s="13"/>
      <c r="J356" s="18"/>
    </row>
    <row r="357" spans="1:10">
      <c r="A357" s="13"/>
      <c r="B357" s="13"/>
      <c r="C357" s="13"/>
      <c r="D357" s="13"/>
      <c r="E357" s="13"/>
      <c r="F357" s="13"/>
      <c r="G357" s="13"/>
      <c r="H357" s="13"/>
      <c r="I357" s="13"/>
      <c r="J357" s="18"/>
    </row>
    <row r="358" spans="1:10">
      <c r="A358" s="13"/>
      <c r="B358" s="13"/>
      <c r="C358" s="13"/>
      <c r="D358" s="13"/>
      <c r="E358" s="13"/>
      <c r="F358" s="13"/>
      <c r="G358" s="13"/>
      <c r="H358" s="13"/>
      <c r="I358" s="13"/>
      <c r="J358" s="18"/>
    </row>
    <row r="359" spans="1:10">
      <c r="A359" s="13"/>
      <c r="B359" s="13"/>
      <c r="C359" s="13"/>
      <c r="D359" s="13"/>
      <c r="E359" s="13"/>
      <c r="F359" s="13"/>
      <c r="G359" s="13"/>
      <c r="H359" s="13"/>
      <c r="I359" s="13"/>
      <c r="J359" s="18"/>
    </row>
    <row r="360" spans="1:10">
      <c r="A360" s="13"/>
      <c r="B360" s="13"/>
      <c r="C360" s="13"/>
      <c r="D360" s="13"/>
      <c r="E360" s="13"/>
      <c r="F360" s="13"/>
      <c r="G360" s="13"/>
      <c r="H360" s="13"/>
      <c r="I360" s="13"/>
      <c r="J360" s="18"/>
    </row>
    <row r="361" spans="1:10">
      <c r="A361" s="13"/>
      <c r="B361" s="13"/>
      <c r="C361" s="13"/>
      <c r="D361" s="13"/>
      <c r="E361" s="13"/>
      <c r="F361" s="13"/>
      <c r="G361" s="13"/>
      <c r="H361" s="13"/>
      <c r="I361" s="13"/>
      <c r="J361" s="18"/>
    </row>
    <row r="362" spans="1:10">
      <c r="A362" s="13"/>
      <c r="B362" s="13"/>
      <c r="C362" s="13"/>
      <c r="D362" s="13"/>
      <c r="E362" s="13"/>
      <c r="F362" s="13"/>
      <c r="G362" s="13"/>
      <c r="H362" s="13"/>
      <c r="I362" s="13"/>
      <c r="J362" s="18"/>
    </row>
    <row r="363" spans="1:10">
      <c r="A363" s="13"/>
      <c r="B363" s="13"/>
      <c r="C363" s="13"/>
      <c r="D363" s="13"/>
      <c r="E363" s="13"/>
      <c r="F363" s="13"/>
      <c r="G363" s="13"/>
      <c r="H363" s="13"/>
      <c r="I363" s="13"/>
      <c r="J363" s="18"/>
    </row>
    <row r="364" spans="1:10">
      <c r="A364" s="13"/>
      <c r="B364" s="13"/>
      <c r="C364" s="13"/>
      <c r="D364" s="13"/>
      <c r="E364" s="13"/>
      <c r="F364" s="13"/>
      <c r="G364" s="13"/>
      <c r="H364" s="13"/>
      <c r="I364" s="13"/>
      <c r="J364" s="18"/>
    </row>
    <row r="365" spans="1:10">
      <c r="A365" s="13"/>
      <c r="B365" s="13"/>
      <c r="C365" s="13"/>
      <c r="D365" s="13"/>
      <c r="E365" s="13"/>
      <c r="F365" s="13"/>
      <c r="G365" s="13"/>
      <c r="H365" s="13"/>
      <c r="I365" s="13"/>
      <c r="J365" s="18"/>
    </row>
    <row r="366" spans="1:10">
      <c r="A366" s="13"/>
      <c r="B366" s="13"/>
      <c r="C366" s="13"/>
      <c r="D366" s="13"/>
      <c r="E366" s="13"/>
      <c r="F366" s="13"/>
      <c r="G366" s="13"/>
      <c r="H366" s="13"/>
      <c r="I366" s="13"/>
      <c r="J366" s="18"/>
    </row>
    <row r="367" spans="1:10">
      <c r="A367" s="13"/>
      <c r="B367" s="13"/>
      <c r="C367" s="13"/>
      <c r="D367" s="13"/>
      <c r="E367" s="13"/>
      <c r="F367" s="13"/>
      <c r="G367" s="13"/>
      <c r="H367" s="13"/>
      <c r="I367" s="13"/>
      <c r="J367" s="18"/>
    </row>
    <row r="368" spans="1:10">
      <c r="A368" s="13"/>
      <c r="B368" s="13"/>
      <c r="C368" s="13"/>
      <c r="D368" s="13"/>
      <c r="E368" s="13"/>
      <c r="F368" s="13"/>
      <c r="G368" s="13"/>
      <c r="H368" s="13"/>
      <c r="I368" s="13"/>
      <c r="J368" s="18"/>
    </row>
    <row r="369" spans="1:10">
      <c r="A369" s="13"/>
      <c r="B369" s="13"/>
      <c r="C369" s="13"/>
      <c r="D369" s="13"/>
      <c r="E369" s="13"/>
      <c r="F369" s="13"/>
      <c r="G369" s="13"/>
      <c r="H369" s="13"/>
      <c r="I369" s="13"/>
      <c r="J369" s="18"/>
    </row>
    <row r="370" spans="1:10">
      <c r="A370" s="13"/>
      <c r="B370" s="13"/>
      <c r="C370" s="13"/>
      <c r="D370" s="13"/>
      <c r="E370" s="13"/>
      <c r="F370" s="13"/>
      <c r="G370" s="13"/>
      <c r="H370" s="13"/>
      <c r="I370" s="13"/>
      <c r="J370" s="18"/>
    </row>
    <row r="371" spans="1:10">
      <c r="A371" s="13"/>
      <c r="B371" s="13"/>
      <c r="C371" s="13"/>
      <c r="D371" s="13"/>
      <c r="E371" s="13"/>
      <c r="F371" s="13"/>
      <c r="G371" s="13"/>
      <c r="H371" s="13"/>
      <c r="I371" s="13"/>
      <c r="J371" s="18"/>
    </row>
    <row r="372" spans="1:10">
      <c r="A372" s="13"/>
      <c r="B372" s="13"/>
      <c r="C372" s="13"/>
      <c r="D372" s="13"/>
      <c r="E372" s="13"/>
      <c r="F372" s="13"/>
      <c r="G372" s="13"/>
      <c r="H372" s="13"/>
      <c r="I372" s="13"/>
      <c r="J372" s="18"/>
    </row>
    <row r="373" spans="1:10">
      <c r="A373" s="13"/>
      <c r="B373" s="13"/>
      <c r="C373" s="13"/>
      <c r="D373" s="13"/>
      <c r="E373" s="13"/>
      <c r="F373" s="13"/>
      <c r="G373" s="13"/>
      <c r="H373" s="13"/>
      <c r="I373" s="13"/>
      <c r="J373" s="18"/>
    </row>
    <row r="374" spans="1:10">
      <c r="A374" s="13"/>
      <c r="B374" s="13"/>
      <c r="C374" s="13"/>
      <c r="D374" s="13"/>
      <c r="E374" s="13"/>
      <c r="F374" s="13"/>
      <c r="G374" s="13"/>
      <c r="H374" s="13"/>
      <c r="I374" s="13"/>
      <c r="J374" s="18"/>
    </row>
    <row r="375" spans="1:10">
      <c r="A375" s="13"/>
      <c r="B375" s="13"/>
      <c r="C375" s="13"/>
      <c r="D375" s="13"/>
      <c r="E375" s="13"/>
      <c r="F375" s="13"/>
      <c r="G375" s="13"/>
      <c r="H375" s="13"/>
      <c r="I375" s="13"/>
      <c r="J375" s="18"/>
    </row>
    <row r="376" spans="1:10">
      <c r="A376" s="13"/>
      <c r="B376" s="13"/>
      <c r="C376" s="13"/>
      <c r="D376" s="13"/>
      <c r="E376" s="13"/>
      <c r="F376" s="13"/>
      <c r="G376" s="13"/>
      <c r="H376" s="13"/>
      <c r="I376" s="13"/>
      <c r="J376" s="18"/>
    </row>
    <row r="377" spans="1:10">
      <c r="A377" s="13"/>
      <c r="B377" s="13"/>
      <c r="C377" s="13"/>
      <c r="D377" s="13"/>
      <c r="E377" s="13"/>
      <c r="F377" s="13"/>
      <c r="G377" s="13"/>
      <c r="H377" s="13"/>
      <c r="I377" s="13"/>
      <c r="J377" s="18"/>
    </row>
    <row r="378" spans="1:10">
      <c r="A378" s="13"/>
      <c r="B378" s="13"/>
      <c r="C378" s="13"/>
      <c r="D378" s="13"/>
      <c r="E378" s="13"/>
      <c r="F378" s="13"/>
      <c r="G378" s="13"/>
      <c r="H378" s="13"/>
      <c r="I378" s="13"/>
      <c r="J378" s="18"/>
    </row>
    <row r="379" spans="1:10">
      <c r="A379" s="13"/>
      <c r="B379" s="13"/>
      <c r="C379" s="13"/>
      <c r="D379" s="13"/>
      <c r="E379" s="13"/>
      <c r="F379" s="13"/>
      <c r="G379" s="13"/>
      <c r="H379" s="13"/>
      <c r="I379" s="13"/>
      <c r="J379" s="18"/>
    </row>
    <row r="380" spans="1:10">
      <c r="A380" s="13"/>
      <c r="B380" s="13"/>
      <c r="C380" s="13"/>
      <c r="D380" s="13"/>
      <c r="E380" s="13"/>
      <c r="F380" s="13"/>
      <c r="G380" s="13"/>
      <c r="H380" s="13"/>
      <c r="I380" s="13"/>
      <c r="J380" s="18"/>
    </row>
    <row r="381" spans="1:10">
      <c r="A381" s="13"/>
      <c r="B381" s="13"/>
      <c r="C381" s="13"/>
      <c r="D381" s="13"/>
      <c r="E381" s="13"/>
      <c r="F381" s="13"/>
      <c r="G381" s="13"/>
      <c r="H381" s="13"/>
      <c r="I381" s="13"/>
      <c r="J381" s="18"/>
    </row>
    <row r="382" spans="1:10">
      <c r="A382" s="13"/>
      <c r="B382" s="13"/>
      <c r="C382" s="13"/>
      <c r="D382" s="13"/>
      <c r="E382" s="13"/>
      <c r="F382" s="13"/>
      <c r="G382" s="13"/>
      <c r="H382" s="13"/>
      <c r="I382" s="13"/>
      <c r="J382" s="18"/>
    </row>
    <row r="383" spans="1:10">
      <c r="A383" s="13"/>
      <c r="B383" s="13"/>
      <c r="C383" s="13"/>
      <c r="D383" s="13"/>
      <c r="E383" s="13"/>
      <c r="F383" s="13"/>
      <c r="G383" s="13"/>
      <c r="H383" s="13"/>
      <c r="I383" s="13"/>
      <c r="J383" s="18"/>
    </row>
    <row r="384" spans="1:10">
      <c r="A384" s="13"/>
      <c r="B384" s="13"/>
      <c r="C384" s="13"/>
      <c r="D384" s="13"/>
      <c r="E384" s="13"/>
      <c r="F384" s="13"/>
      <c r="G384" s="13"/>
      <c r="H384" s="13"/>
      <c r="I384" s="13"/>
      <c r="J384" s="18"/>
    </row>
    <row r="385" spans="1:10">
      <c r="A385" s="13"/>
      <c r="B385" s="13"/>
      <c r="C385" s="13"/>
      <c r="D385" s="13"/>
      <c r="E385" s="13"/>
      <c r="F385" s="13"/>
      <c r="G385" s="13"/>
      <c r="H385" s="13"/>
      <c r="I385" s="13"/>
      <c r="J385" s="18"/>
    </row>
    <row r="386" spans="1:10">
      <c r="A386" s="13"/>
      <c r="B386" s="13"/>
      <c r="C386" s="13"/>
      <c r="D386" s="13"/>
      <c r="E386" s="13"/>
      <c r="F386" s="13"/>
      <c r="G386" s="13"/>
      <c r="H386" s="13"/>
      <c r="I386" s="13"/>
      <c r="J386" s="18"/>
    </row>
    <row r="387" spans="1:10">
      <c r="A387" s="13"/>
      <c r="B387" s="13"/>
      <c r="C387" s="13"/>
      <c r="D387" s="13"/>
      <c r="E387" s="13"/>
      <c r="F387" s="13"/>
      <c r="G387" s="13"/>
      <c r="H387" s="13"/>
      <c r="I387" s="13"/>
      <c r="J387" s="18"/>
    </row>
    <row r="388" spans="1:10">
      <c r="A388" s="13"/>
      <c r="B388" s="13"/>
      <c r="C388" s="13"/>
      <c r="D388" s="13"/>
      <c r="E388" s="13"/>
      <c r="F388" s="13"/>
      <c r="G388" s="13"/>
      <c r="H388" s="13"/>
      <c r="I388" s="13"/>
      <c r="J388" s="18"/>
    </row>
    <row r="389" spans="1:10">
      <c r="A389" s="13"/>
      <c r="B389" s="13"/>
      <c r="C389" s="13"/>
      <c r="D389" s="13"/>
      <c r="E389" s="13"/>
      <c r="F389" s="13"/>
      <c r="G389" s="13"/>
      <c r="H389" s="13"/>
      <c r="I389" s="13"/>
      <c r="J389" s="18"/>
    </row>
    <row r="390" spans="1:10">
      <c r="A390" s="13"/>
      <c r="B390" s="13"/>
      <c r="C390" s="13"/>
      <c r="D390" s="13"/>
      <c r="E390" s="13"/>
      <c r="F390" s="13"/>
      <c r="G390" s="13"/>
      <c r="H390" s="13"/>
      <c r="I390" s="13"/>
      <c r="J390" s="18"/>
    </row>
    <row r="391" spans="1:10">
      <c r="A391" s="13"/>
      <c r="B391" s="13"/>
      <c r="C391" s="13"/>
      <c r="D391" s="13"/>
      <c r="E391" s="13"/>
      <c r="F391" s="13"/>
      <c r="G391" s="13"/>
      <c r="H391" s="13"/>
      <c r="I391" s="13"/>
      <c r="J391" s="18"/>
    </row>
    <row r="392" spans="1:10">
      <c r="A392" s="13"/>
      <c r="B392" s="13"/>
      <c r="C392" s="13"/>
      <c r="D392" s="13"/>
      <c r="E392" s="13"/>
      <c r="F392" s="13"/>
      <c r="G392" s="13"/>
      <c r="H392" s="13"/>
      <c r="I392" s="13"/>
      <c r="J392" s="18"/>
    </row>
    <row r="393" spans="1:10">
      <c r="A393" s="13"/>
      <c r="B393" s="13"/>
      <c r="C393" s="13"/>
      <c r="D393" s="13"/>
      <c r="E393" s="13"/>
      <c r="F393" s="13"/>
      <c r="G393" s="13"/>
      <c r="H393" s="13"/>
      <c r="I393" s="13"/>
      <c r="J393" s="18"/>
    </row>
    <row r="394" spans="1:10">
      <c r="A394" s="13"/>
      <c r="B394" s="13"/>
      <c r="C394" s="13"/>
      <c r="D394" s="13"/>
      <c r="E394" s="13"/>
      <c r="F394" s="13"/>
      <c r="G394" s="13"/>
      <c r="H394" s="13"/>
      <c r="I394" s="13"/>
      <c r="J394" s="18"/>
    </row>
    <row r="395" spans="1:10">
      <c r="A395" s="13"/>
      <c r="B395" s="13"/>
      <c r="C395" s="13"/>
      <c r="D395" s="13"/>
      <c r="E395" s="13"/>
      <c r="F395" s="13"/>
      <c r="G395" s="13"/>
      <c r="H395" s="13"/>
      <c r="I395" s="13"/>
      <c r="J395" s="18"/>
    </row>
    <row r="396" spans="1:10">
      <c r="A396" s="13"/>
      <c r="B396" s="13"/>
      <c r="C396" s="13"/>
      <c r="D396" s="13"/>
      <c r="E396" s="13"/>
      <c r="F396" s="13"/>
      <c r="G396" s="13"/>
      <c r="H396" s="13"/>
      <c r="I396" s="13"/>
      <c r="J396" s="18"/>
    </row>
    <row r="397" spans="1:10">
      <c r="A397" s="13"/>
      <c r="B397" s="13"/>
      <c r="C397" s="13"/>
      <c r="D397" s="13"/>
      <c r="E397" s="13"/>
      <c r="F397" s="13"/>
      <c r="G397" s="13"/>
      <c r="H397" s="13"/>
      <c r="I397" s="13"/>
      <c r="J397" s="18"/>
    </row>
    <row r="398" spans="1:10">
      <c r="A398" s="13"/>
      <c r="B398" s="13"/>
      <c r="C398" s="13"/>
      <c r="D398" s="13"/>
      <c r="E398" s="13"/>
      <c r="F398" s="13"/>
      <c r="G398" s="13"/>
      <c r="H398" s="13"/>
      <c r="I398" s="13"/>
      <c r="J398" s="18"/>
    </row>
    <row r="399" spans="1:10">
      <c r="A399" s="13"/>
      <c r="B399" s="13"/>
      <c r="C399" s="13"/>
      <c r="D399" s="13"/>
      <c r="E399" s="13"/>
      <c r="F399" s="13"/>
      <c r="G399" s="13"/>
      <c r="H399" s="13"/>
      <c r="I399" s="13"/>
      <c r="J399" s="18"/>
    </row>
    <row r="400" spans="1:10">
      <c r="A400" s="13"/>
      <c r="B400" s="13"/>
      <c r="C400" s="13"/>
      <c r="D400" s="13"/>
      <c r="E400" s="13"/>
      <c r="F400" s="13"/>
      <c r="G400" s="13"/>
      <c r="H400" s="13"/>
      <c r="I400" s="13"/>
      <c r="J400" s="18"/>
    </row>
    <row r="401" spans="1:10">
      <c r="A401" s="13"/>
      <c r="B401" s="13"/>
      <c r="C401" s="13"/>
      <c r="D401" s="13"/>
      <c r="E401" s="13"/>
      <c r="F401" s="13"/>
      <c r="G401" s="13"/>
      <c r="H401" s="13"/>
      <c r="I401" s="13"/>
      <c r="J401" s="18"/>
    </row>
    <row r="402" spans="1:10">
      <c r="A402" s="13"/>
      <c r="B402" s="13"/>
      <c r="C402" s="13"/>
      <c r="D402" s="13"/>
      <c r="E402" s="13"/>
      <c r="F402" s="13"/>
      <c r="G402" s="13"/>
      <c r="H402" s="13"/>
      <c r="I402" s="13"/>
      <c r="J402" s="18"/>
    </row>
    <row r="403" spans="1:10">
      <c r="A403" s="13"/>
      <c r="B403" s="13"/>
      <c r="C403" s="13"/>
      <c r="D403" s="13"/>
      <c r="E403" s="13"/>
      <c r="F403" s="13"/>
      <c r="G403" s="13"/>
      <c r="H403" s="13"/>
      <c r="I403" s="13"/>
      <c r="J403" s="18"/>
    </row>
    <row r="404" spans="1:10">
      <c r="A404" s="13"/>
      <c r="B404" s="13"/>
      <c r="C404" s="13"/>
      <c r="D404" s="13"/>
      <c r="E404" s="13"/>
      <c r="F404" s="13"/>
      <c r="G404" s="13"/>
      <c r="H404" s="13"/>
      <c r="I404" s="13"/>
      <c r="J404" s="18"/>
    </row>
    <row r="405" spans="1:10">
      <c r="A405" s="13"/>
      <c r="B405" s="13"/>
      <c r="C405" s="13"/>
      <c r="D405" s="13"/>
      <c r="E405" s="13"/>
      <c r="F405" s="13"/>
      <c r="G405" s="13"/>
      <c r="H405" s="13"/>
      <c r="I405" s="13"/>
      <c r="J405" s="18"/>
    </row>
    <row r="406" spans="1:10">
      <c r="A406" s="13"/>
      <c r="B406" s="13"/>
      <c r="C406" s="13"/>
      <c r="D406" s="13"/>
      <c r="E406" s="13"/>
      <c r="F406" s="13"/>
      <c r="G406" s="13"/>
      <c r="H406" s="13"/>
      <c r="I406" s="13"/>
      <c r="J406" s="18"/>
    </row>
    <row r="407" spans="1:10">
      <c r="A407" s="13"/>
      <c r="B407" s="13"/>
      <c r="C407" s="13"/>
      <c r="D407" s="13"/>
      <c r="E407" s="13"/>
      <c r="F407" s="13"/>
      <c r="G407" s="13"/>
      <c r="H407" s="13"/>
      <c r="I407" s="13"/>
      <c r="J407" s="18"/>
    </row>
    <row r="408" spans="1:10">
      <c r="A408" s="13"/>
      <c r="B408" s="13"/>
      <c r="C408" s="13"/>
      <c r="D408" s="13"/>
      <c r="E408" s="13"/>
      <c r="F408" s="13"/>
      <c r="G408" s="13"/>
      <c r="H408" s="13"/>
      <c r="I408" s="13"/>
      <c r="J408" s="18"/>
    </row>
    <row r="409" spans="1:10">
      <c r="A409" s="13"/>
      <c r="B409" s="13"/>
      <c r="C409" s="13"/>
      <c r="D409" s="13"/>
      <c r="E409" s="13"/>
      <c r="F409" s="13"/>
      <c r="G409" s="13"/>
      <c r="H409" s="13"/>
      <c r="I409" s="13"/>
      <c r="J409" s="18"/>
    </row>
    <row r="410" spans="1:10">
      <c r="A410" s="13"/>
      <c r="B410" s="13"/>
      <c r="C410" s="13"/>
      <c r="D410" s="13"/>
      <c r="E410" s="13"/>
      <c r="F410" s="13"/>
      <c r="G410" s="13"/>
      <c r="H410" s="13"/>
      <c r="I410" s="13"/>
      <c r="J410" s="18"/>
    </row>
    <row r="411" spans="1:10">
      <c r="A411" s="13"/>
      <c r="B411" s="13"/>
      <c r="C411" s="13"/>
      <c r="D411" s="13"/>
      <c r="E411" s="13"/>
      <c r="F411" s="13"/>
      <c r="G411" s="13"/>
      <c r="H411" s="13"/>
      <c r="I411" s="13"/>
      <c r="J411" s="18"/>
    </row>
    <row r="412" spans="1:10">
      <c r="A412" s="13"/>
      <c r="B412" s="13"/>
      <c r="C412" s="13"/>
      <c r="D412" s="13"/>
      <c r="E412" s="13"/>
      <c r="F412" s="13"/>
      <c r="G412" s="13"/>
      <c r="H412" s="13"/>
      <c r="I412" s="13"/>
      <c r="J412" s="18"/>
    </row>
    <row r="413" spans="1:10">
      <c r="A413" s="13"/>
      <c r="B413" s="13"/>
      <c r="C413" s="13"/>
      <c r="D413" s="13"/>
      <c r="E413" s="13"/>
      <c r="F413" s="13"/>
      <c r="G413" s="13"/>
      <c r="H413" s="13"/>
      <c r="I413" s="13"/>
      <c r="J413" s="18"/>
    </row>
    <row r="414" spans="1:10">
      <c r="A414" s="13"/>
      <c r="B414" s="13"/>
      <c r="C414" s="13"/>
      <c r="D414" s="13"/>
      <c r="E414" s="13"/>
      <c r="F414" s="13"/>
      <c r="G414" s="13"/>
      <c r="H414" s="13"/>
      <c r="I414" s="13"/>
      <c r="J414" s="18"/>
    </row>
    <row r="415" spans="1:10">
      <c r="A415" s="13"/>
      <c r="B415" s="13"/>
      <c r="C415" s="13"/>
      <c r="D415" s="13"/>
      <c r="E415" s="13"/>
      <c r="F415" s="13"/>
      <c r="G415" s="13"/>
      <c r="H415" s="13"/>
      <c r="I415" s="13"/>
      <c r="J415" s="18"/>
    </row>
    <row r="416" spans="1:10">
      <c r="A416" s="13"/>
      <c r="B416" s="13"/>
      <c r="C416" s="13"/>
      <c r="D416" s="13"/>
      <c r="E416" s="13"/>
      <c r="F416" s="13"/>
      <c r="G416" s="13"/>
      <c r="H416" s="13"/>
      <c r="I416" s="13"/>
      <c r="J416" s="18"/>
    </row>
    <row r="417" spans="1:10">
      <c r="A417" s="13"/>
      <c r="B417" s="13"/>
      <c r="C417" s="13"/>
      <c r="D417" s="13"/>
      <c r="E417" s="13"/>
      <c r="F417" s="13"/>
      <c r="G417" s="13"/>
      <c r="H417" s="13"/>
      <c r="I417" s="13"/>
      <c r="J417" s="18"/>
    </row>
    <row r="418" spans="1:10">
      <c r="A418" s="13"/>
      <c r="B418" s="13"/>
      <c r="C418" s="13"/>
      <c r="D418" s="13"/>
      <c r="E418" s="13"/>
      <c r="F418" s="13"/>
      <c r="G418" s="13"/>
      <c r="H418" s="13"/>
      <c r="I418" s="13"/>
      <c r="J418" s="18"/>
    </row>
    <row r="419" spans="1:10">
      <c r="A419" s="13"/>
      <c r="B419" s="13"/>
      <c r="C419" s="13"/>
      <c r="D419" s="13"/>
      <c r="E419" s="13"/>
      <c r="F419" s="13"/>
      <c r="G419" s="13"/>
      <c r="H419" s="13"/>
      <c r="I419" s="13"/>
      <c r="J419" s="18"/>
    </row>
    <row r="420" spans="1:10">
      <c r="A420" s="13"/>
      <c r="B420" s="13"/>
      <c r="C420" s="13"/>
      <c r="D420" s="13"/>
      <c r="E420" s="13"/>
      <c r="F420" s="13"/>
      <c r="G420" s="13"/>
      <c r="H420" s="13"/>
      <c r="I420" s="13"/>
      <c r="J420" s="18"/>
    </row>
    <row r="421" spans="1:10">
      <c r="A421" s="13"/>
      <c r="B421" s="13"/>
      <c r="C421" s="13"/>
      <c r="D421" s="13"/>
      <c r="E421" s="13"/>
      <c r="F421" s="13"/>
      <c r="G421" s="13"/>
      <c r="H421" s="13"/>
      <c r="I421" s="13"/>
      <c r="J421" s="18"/>
    </row>
    <row r="422" spans="1:10">
      <c r="A422" s="13"/>
      <c r="B422" s="13"/>
      <c r="C422" s="13"/>
      <c r="D422" s="13"/>
      <c r="E422" s="13"/>
      <c r="F422" s="13"/>
      <c r="G422" s="13"/>
      <c r="H422" s="13"/>
      <c r="I422" s="13"/>
      <c r="J422" s="18"/>
    </row>
    <row r="423" spans="1:10">
      <c r="A423" s="13"/>
      <c r="B423" s="13"/>
      <c r="C423" s="13"/>
      <c r="D423" s="13"/>
      <c r="E423" s="13"/>
      <c r="F423" s="13"/>
      <c r="G423" s="13"/>
      <c r="H423" s="13"/>
      <c r="I423" s="13"/>
      <c r="J423" s="18"/>
    </row>
    <row r="424" spans="1:10">
      <c r="A424" s="13"/>
      <c r="B424" s="13"/>
      <c r="C424" s="13"/>
      <c r="D424" s="13"/>
      <c r="E424" s="13"/>
      <c r="F424" s="13"/>
      <c r="G424" s="13"/>
      <c r="H424" s="13"/>
      <c r="I424" s="13"/>
      <c r="J424" s="18"/>
    </row>
    <row r="425" spans="1:10">
      <c r="A425" s="13"/>
      <c r="B425" s="13"/>
      <c r="C425" s="13"/>
      <c r="D425" s="13"/>
      <c r="E425" s="13"/>
      <c r="F425" s="13"/>
      <c r="G425" s="13"/>
      <c r="H425" s="13"/>
      <c r="I425" s="13"/>
      <c r="J425" s="18"/>
    </row>
    <row r="426" spans="1:10">
      <c r="A426" s="13"/>
      <c r="B426" s="13"/>
      <c r="C426" s="13"/>
      <c r="D426" s="13"/>
      <c r="E426" s="13"/>
      <c r="F426" s="13"/>
      <c r="G426" s="13"/>
      <c r="H426" s="13"/>
      <c r="I426" s="13"/>
      <c r="J426" s="18"/>
    </row>
    <row r="427" spans="1:10">
      <c r="A427" s="13"/>
      <c r="B427" s="13"/>
      <c r="C427" s="13"/>
      <c r="D427" s="13"/>
      <c r="E427" s="13"/>
      <c r="F427" s="13"/>
      <c r="G427" s="13"/>
      <c r="H427" s="13"/>
      <c r="I427" s="13"/>
      <c r="J427" s="18"/>
    </row>
    <row r="428" spans="1:10">
      <c r="A428" s="13"/>
      <c r="B428" s="13"/>
      <c r="C428" s="13"/>
      <c r="D428" s="13"/>
      <c r="E428" s="13"/>
      <c r="F428" s="13"/>
      <c r="G428" s="13"/>
      <c r="H428" s="13"/>
      <c r="I428" s="13"/>
      <c r="J428" s="18"/>
    </row>
    <row r="429" spans="1:10">
      <c r="A429" s="13"/>
      <c r="B429" s="13"/>
      <c r="C429" s="13"/>
      <c r="D429" s="13"/>
      <c r="E429" s="13"/>
      <c r="F429" s="13"/>
      <c r="G429" s="13"/>
      <c r="H429" s="13"/>
      <c r="I429" s="13"/>
      <c r="J429" s="18"/>
    </row>
    <row r="430" spans="1:10">
      <c r="A430" s="13"/>
      <c r="B430" s="13"/>
      <c r="C430" s="13"/>
      <c r="D430" s="13"/>
      <c r="E430" s="13"/>
      <c r="F430" s="13"/>
      <c r="G430" s="13"/>
      <c r="H430" s="13"/>
      <c r="I430" s="13"/>
      <c r="J430" s="18"/>
    </row>
    <row r="431" spans="1:10">
      <c r="A431" s="13"/>
      <c r="B431" s="13"/>
      <c r="C431" s="13"/>
      <c r="D431" s="13"/>
      <c r="E431" s="13"/>
      <c r="F431" s="13"/>
      <c r="G431" s="13"/>
      <c r="H431" s="13"/>
      <c r="I431" s="13"/>
      <c r="J431" s="18"/>
    </row>
    <row r="432" spans="1:10">
      <c r="A432" s="13"/>
      <c r="B432" s="13"/>
      <c r="C432" s="13"/>
      <c r="D432" s="13"/>
      <c r="E432" s="13"/>
      <c r="F432" s="13"/>
      <c r="G432" s="13"/>
      <c r="H432" s="13"/>
      <c r="I432" s="13"/>
      <c r="J432" s="18"/>
    </row>
    <row r="433" spans="1:10">
      <c r="A433" s="13"/>
      <c r="B433" s="13"/>
      <c r="C433" s="13"/>
      <c r="D433" s="13"/>
      <c r="E433" s="13"/>
      <c r="F433" s="13"/>
      <c r="G433" s="13"/>
      <c r="H433" s="13"/>
      <c r="I433" s="13"/>
      <c r="J433" s="18"/>
    </row>
    <row r="434" spans="1:10">
      <c r="A434" s="13"/>
      <c r="B434" s="13"/>
      <c r="C434" s="13"/>
      <c r="D434" s="13"/>
      <c r="E434" s="13"/>
      <c r="F434" s="13"/>
      <c r="G434" s="13"/>
      <c r="H434" s="13"/>
      <c r="I434" s="13"/>
      <c r="J434" s="18"/>
    </row>
    <row r="435" spans="1:10">
      <c r="A435" s="13"/>
      <c r="B435" s="13"/>
      <c r="C435" s="13"/>
      <c r="D435" s="13"/>
      <c r="E435" s="13"/>
      <c r="F435" s="13"/>
      <c r="G435" s="13"/>
      <c r="H435" s="13"/>
      <c r="I435" s="13"/>
      <c r="J435" s="18"/>
    </row>
    <row r="436" spans="1:10">
      <c r="A436" s="13"/>
      <c r="B436" s="13"/>
      <c r="C436" s="13"/>
      <c r="D436" s="13"/>
      <c r="E436" s="13"/>
      <c r="F436" s="13"/>
      <c r="G436" s="13"/>
      <c r="H436" s="13"/>
      <c r="I436" s="13"/>
      <c r="J436" s="18"/>
    </row>
    <row r="437" spans="1:10">
      <c r="A437" s="13"/>
      <c r="B437" s="13"/>
      <c r="C437" s="13"/>
      <c r="D437" s="13"/>
      <c r="E437" s="13"/>
      <c r="F437" s="13"/>
      <c r="G437" s="13"/>
      <c r="H437" s="13"/>
      <c r="I437" s="13"/>
      <c r="J437" s="18"/>
    </row>
    <row r="438" spans="1:10">
      <c r="A438" s="13"/>
      <c r="B438" s="13"/>
      <c r="C438" s="13"/>
      <c r="D438" s="13"/>
      <c r="E438" s="13"/>
      <c r="F438" s="13"/>
      <c r="G438" s="13"/>
      <c r="H438" s="13"/>
      <c r="I438" s="13"/>
      <c r="J438" s="18"/>
    </row>
    <row r="439" spans="1:10">
      <c r="A439" s="13"/>
      <c r="B439" s="13"/>
      <c r="C439" s="13"/>
      <c r="D439" s="13"/>
      <c r="E439" s="13"/>
      <c r="F439" s="13"/>
      <c r="G439" s="13"/>
      <c r="H439" s="13"/>
      <c r="I439" s="13"/>
      <c r="J439" s="18"/>
    </row>
    <row r="440" spans="1:10">
      <c r="A440" s="13"/>
      <c r="B440" s="13"/>
      <c r="C440" s="13"/>
      <c r="D440" s="13"/>
      <c r="E440" s="13"/>
      <c r="F440" s="13"/>
      <c r="G440" s="13"/>
      <c r="H440" s="13"/>
      <c r="I440" s="13"/>
      <c r="J440" s="18"/>
    </row>
    <row r="441" spans="1:10">
      <c r="A441" s="13"/>
      <c r="B441" s="13"/>
      <c r="C441" s="13"/>
      <c r="D441" s="13"/>
      <c r="E441" s="13"/>
      <c r="F441" s="13"/>
      <c r="G441" s="13"/>
      <c r="H441" s="13"/>
      <c r="I441" s="13"/>
      <c r="J441" s="18"/>
    </row>
    <row r="442" spans="1:10">
      <c r="A442" s="13"/>
      <c r="B442" s="13"/>
      <c r="C442" s="13"/>
      <c r="D442" s="13"/>
      <c r="E442" s="13"/>
      <c r="F442" s="13"/>
      <c r="G442" s="13"/>
      <c r="H442" s="13"/>
      <c r="I442" s="13"/>
      <c r="J442" s="18"/>
    </row>
    <row r="443" spans="1:10">
      <c r="A443" s="13"/>
      <c r="B443" s="13"/>
      <c r="C443" s="13"/>
      <c r="D443" s="13"/>
      <c r="E443" s="13"/>
      <c r="F443" s="13"/>
      <c r="G443" s="13"/>
      <c r="H443" s="13"/>
      <c r="I443" s="13"/>
      <c r="J443" s="18"/>
    </row>
    <row r="444" spans="1:10">
      <c r="A444" s="13"/>
      <c r="B444" s="13"/>
      <c r="C444" s="13"/>
      <c r="D444" s="13"/>
      <c r="E444" s="13"/>
      <c r="F444" s="13"/>
      <c r="G444" s="13"/>
      <c r="H444" s="13"/>
      <c r="I444" s="13"/>
      <c r="J444" s="18"/>
    </row>
    <row r="445" spans="1:10">
      <c r="A445" s="13"/>
      <c r="B445" s="13"/>
      <c r="C445" s="13"/>
      <c r="D445" s="13"/>
      <c r="E445" s="13"/>
      <c r="F445" s="13"/>
      <c r="G445" s="13"/>
      <c r="H445" s="13"/>
      <c r="I445" s="13"/>
      <c r="J445" s="18"/>
    </row>
    <row r="446" spans="1:10">
      <c r="A446" s="13"/>
      <c r="B446" s="13"/>
      <c r="C446" s="13"/>
      <c r="D446" s="13"/>
      <c r="E446" s="13"/>
      <c r="F446" s="13"/>
      <c r="G446" s="13"/>
      <c r="H446" s="13"/>
      <c r="I446" s="13"/>
      <c r="J446" s="18"/>
    </row>
    <row r="447" spans="1:10">
      <c r="A447" s="13"/>
      <c r="B447" s="13"/>
      <c r="C447" s="13"/>
      <c r="D447" s="13"/>
      <c r="E447" s="13"/>
      <c r="F447" s="13"/>
      <c r="G447" s="13"/>
      <c r="H447" s="13"/>
      <c r="I447" s="13"/>
      <c r="J447" s="18"/>
    </row>
    <row r="448" spans="1:10">
      <c r="A448" s="13"/>
      <c r="B448" s="13"/>
      <c r="C448" s="13"/>
      <c r="D448" s="13"/>
      <c r="E448" s="13"/>
      <c r="F448" s="13"/>
      <c r="G448" s="13"/>
      <c r="H448" s="13"/>
      <c r="I448" s="13"/>
      <c r="J448" s="18"/>
    </row>
    <row r="449" spans="1:10">
      <c r="A449" s="13"/>
      <c r="B449" s="13"/>
      <c r="C449" s="13"/>
      <c r="D449" s="13"/>
      <c r="E449" s="13"/>
      <c r="F449" s="13"/>
      <c r="G449" s="13"/>
      <c r="H449" s="13"/>
      <c r="I449" s="13"/>
      <c r="J449" s="18"/>
    </row>
    <row r="450" spans="1:10">
      <c r="A450" s="13"/>
      <c r="B450" s="13"/>
      <c r="C450" s="13"/>
      <c r="D450" s="13"/>
      <c r="E450" s="13"/>
      <c r="F450" s="13"/>
      <c r="G450" s="13"/>
      <c r="H450" s="13"/>
      <c r="I450" s="13"/>
      <c r="J450" s="18"/>
    </row>
    <row r="451" spans="1:10">
      <c r="A451" s="13"/>
      <c r="B451" s="13"/>
      <c r="C451" s="13"/>
      <c r="D451" s="13"/>
      <c r="E451" s="13"/>
      <c r="F451" s="13"/>
      <c r="G451" s="13"/>
      <c r="H451" s="13"/>
      <c r="I451" s="13"/>
      <c r="J451" s="18"/>
    </row>
    <row r="452" spans="1:10">
      <c r="A452" s="13"/>
      <c r="B452" s="13"/>
      <c r="C452" s="13"/>
      <c r="D452" s="13"/>
      <c r="E452" s="13"/>
      <c r="F452" s="13"/>
      <c r="G452" s="13"/>
      <c r="H452" s="13"/>
      <c r="I452" s="13"/>
      <c r="J452" s="18"/>
    </row>
    <row r="453" spans="1:10">
      <c r="A453" s="13"/>
      <c r="B453" s="13"/>
      <c r="C453" s="13"/>
      <c r="D453" s="13"/>
      <c r="E453" s="13"/>
      <c r="F453" s="13"/>
      <c r="G453" s="13"/>
      <c r="H453" s="13"/>
      <c r="I453" s="13"/>
      <c r="J453" s="18"/>
    </row>
    <row r="454" spans="1:10">
      <c r="A454" s="13"/>
      <c r="B454" s="13"/>
      <c r="C454" s="13"/>
      <c r="D454" s="13"/>
      <c r="E454" s="13"/>
      <c r="F454" s="13"/>
      <c r="G454" s="13"/>
      <c r="H454" s="13"/>
      <c r="I454" s="13"/>
      <c r="J454" s="18"/>
    </row>
    <row r="455" spans="1:10">
      <c r="A455" s="13"/>
      <c r="B455" s="13"/>
      <c r="C455" s="13"/>
      <c r="D455" s="13"/>
      <c r="E455" s="13"/>
      <c r="F455" s="13"/>
      <c r="G455" s="13"/>
      <c r="H455" s="13"/>
      <c r="I455" s="13"/>
      <c r="J455" s="18"/>
    </row>
    <row r="456" spans="1:10">
      <c r="A456" s="13"/>
      <c r="B456" s="13"/>
      <c r="C456" s="13"/>
      <c r="D456" s="13"/>
      <c r="E456" s="13"/>
      <c r="F456" s="13"/>
      <c r="G456" s="13"/>
      <c r="H456" s="13"/>
      <c r="I456" s="13"/>
      <c r="J456" s="18"/>
    </row>
    <row r="457" spans="1:10">
      <c r="A457" s="13"/>
      <c r="B457" s="13"/>
      <c r="C457" s="13"/>
      <c r="D457" s="13"/>
      <c r="E457" s="13"/>
      <c r="F457" s="13"/>
      <c r="G457" s="13"/>
      <c r="H457" s="13"/>
      <c r="I457" s="13"/>
      <c r="J457" s="18"/>
    </row>
    <row r="458" spans="1:10">
      <c r="A458" s="13"/>
      <c r="B458" s="13"/>
      <c r="C458" s="13"/>
      <c r="D458" s="13"/>
      <c r="E458" s="13"/>
      <c r="F458" s="13"/>
      <c r="G458" s="13"/>
      <c r="H458" s="13"/>
      <c r="I458" s="13"/>
      <c r="J458" s="18"/>
    </row>
    <row r="459" spans="1:10">
      <c r="A459" s="13"/>
      <c r="B459" s="13"/>
      <c r="C459" s="13"/>
      <c r="D459" s="13"/>
      <c r="E459" s="13"/>
      <c r="F459" s="13"/>
      <c r="G459" s="13"/>
      <c r="H459" s="13"/>
      <c r="I459" s="13"/>
      <c r="J459" s="18"/>
    </row>
    <row r="460" spans="1:10">
      <c r="A460" s="13"/>
      <c r="B460" s="13"/>
      <c r="C460" s="13"/>
      <c r="D460" s="13"/>
      <c r="E460" s="13"/>
      <c r="F460" s="13"/>
      <c r="G460" s="13"/>
      <c r="H460" s="13"/>
      <c r="I460" s="13"/>
      <c r="J460" s="18"/>
    </row>
    <row r="461" spans="1:10">
      <c r="A461" s="13"/>
      <c r="B461" s="13"/>
      <c r="C461" s="13"/>
      <c r="D461" s="13"/>
      <c r="E461" s="13"/>
      <c r="F461" s="13"/>
      <c r="G461" s="13"/>
      <c r="H461" s="13"/>
      <c r="I461" s="13"/>
      <c r="J461" s="18"/>
    </row>
    <row r="462" spans="1:10">
      <c r="A462" s="13"/>
      <c r="B462" s="13"/>
      <c r="C462" s="13"/>
      <c r="D462" s="13"/>
      <c r="E462" s="13"/>
      <c r="F462" s="13"/>
      <c r="G462" s="13"/>
      <c r="H462" s="13"/>
      <c r="I462" s="13"/>
      <c r="J462" s="18"/>
    </row>
    <row r="463" spans="1:10">
      <c r="A463" s="13"/>
      <c r="B463" s="13"/>
      <c r="C463" s="13"/>
      <c r="D463" s="13"/>
      <c r="E463" s="13"/>
      <c r="F463" s="13"/>
      <c r="G463" s="13"/>
      <c r="H463" s="13"/>
      <c r="I463" s="13"/>
      <c r="J463" s="18"/>
    </row>
    <row r="464" spans="1:10">
      <c r="A464" s="13"/>
      <c r="B464" s="13"/>
      <c r="C464" s="13"/>
      <c r="D464" s="13"/>
      <c r="E464" s="13"/>
      <c r="F464" s="13"/>
      <c r="G464" s="13"/>
      <c r="H464" s="13"/>
      <c r="I464" s="13"/>
      <c r="J464" s="18"/>
    </row>
    <row r="465" spans="1:10">
      <c r="A465" s="13"/>
      <c r="B465" s="13"/>
      <c r="C465" s="13"/>
      <c r="D465" s="13"/>
      <c r="E465" s="13"/>
      <c r="F465" s="13"/>
      <c r="G465" s="13"/>
      <c r="H465" s="13"/>
      <c r="I465" s="13"/>
      <c r="J465" s="18"/>
    </row>
    <row r="466" spans="1:10">
      <c r="A466" s="13"/>
      <c r="B466" s="13"/>
      <c r="C466" s="13"/>
      <c r="D466" s="13"/>
      <c r="E466" s="13"/>
      <c r="F466" s="13"/>
      <c r="G466" s="13"/>
      <c r="H466" s="13"/>
      <c r="I466" s="13"/>
      <c r="J466" s="18"/>
    </row>
    <row r="467" spans="1:10">
      <c r="A467" s="13"/>
      <c r="B467" s="13"/>
      <c r="C467" s="13"/>
      <c r="D467" s="13"/>
      <c r="E467" s="13"/>
      <c r="F467" s="13"/>
      <c r="G467" s="13"/>
      <c r="H467" s="13"/>
      <c r="I467" s="13"/>
      <c r="J467" s="18"/>
    </row>
    <row r="468" spans="1:10">
      <c r="A468" s="13"/>
      <c r="B468" s="13"/>
      <c r="C468" s="13"/>
      <c r="D468" s="13"/>
      <c r="E468" s="13"/>
      <c r="F468" s="13"/>
      <c r="G468" s="13"/>
      <c r="H468" s="13"/>
      <c r="I468" s="13"/>
      <c r="J468" s="18"/>
    </row>
    <row r="469" spans="1:10">
      <c r="A469" s="13"/>
      <c r="B469" s="13"/>
      <c r="C469" s="13"/>
      <c r="D469" s="13"/>
      <c r="E469" s="13"/>
      <c r="F469" s="13"/>
      <c r="G469" s="13"/>
      <c r="H469" s="13"/>
      <c r="I469" s="13"/>
      <c r="J469" s="18"/>
    </row>
    <row r="470" spans="1:10">
      <c r="A470" s="13"/>
      <c r="B470" s="13"/>
      <c r="C470" s="13"/>
      <c r="D470" s="13"/>
      <c r="E470" s="13"/>
      <c r="F470" s="13"/>
      <c r="G470" s="13"/>
      <c r="H470" s="13"/>
      <c r="I470" s="13"/>
      <c r="J470" s="18"/>
    </row>
    <row r="471" spans="1:10">
      <c r="A471" s="13"/>
      <c r="B471" s="13"/>
      <c r="C471" s="13"/>
      <c r="D471" s="13"/>
      <c r="E471" s="13"/>
      <c r="F471" s="13"/>
      <c r="G471" s="13"/>
      <c r="H471" s="13"/>
      <c r="I471" s="13"/>
      <c r="J471" s="18"/>
    </row>
    <row r="472" spans="1:10">
      <c r="A472" s="13"/>
      <c r="B472" s="13"/>
      <c r="C472" s="13"/>
      <c r="D472" s="13"/>
      <c r="E472" s="13"/>
      <c r="F472" s="13"/>
      <c r="G472" s="13"/>
      <c r="H472" s="13"/>
      <c r="I472" s="13"/>
      <c r="J472" s="18"/>
    </row>
    <row r="473" spans="1:10">
      <c r="A473" s="13"/>
      <c r="B473" s="13"/>
      <c r="C473" s="13"/>
      <c r="D473" s="13"/>
      <c r="E473" s="13"/>
      <c r="F473" s="13"/>
      <c r="G473" s="13"/>
      <c r="H473" s="13"/>
      <c r="I473" s="13"/>
      <c r="J473" s="18"/>
    </row>
    <row r="474" spans="1:10">
      <c r="A474" s="13"/>
      <c r="B474" s="13"/>
      <c r="C474" s="13"/>
      <c r="D474" s="13"/>
      <c r="E474" s="13"/>
      <c r="F474" s="13"/>
      <c r="G474" s="13"/>
      <c r="H474" s="13"/>
      <c r="I474" s="13"/>
      <c r="J474" s="18"/>
    </row>
    <row r="475" spans="1:10">
      <c r="A475" s="13"/>
      <c r="B475" s="13"/>
      <c r="C475" s="13"/>
      <c r="D475" s="13"/>
      <c r="E475" s="13"/>
      <c r="F475" s="13"/>
      <c r="G475" s="13"/>
      <c r="H475" s="13"/>
      <c r="I475" s="13"/>
      <c r="J475" s="18"/>
    </row>
    <row r="476" spans="1:10">
      <c r="A476" s="13"/>
      <c r="B476" s="13"/>
      <c r="C476" s="13"/>
      <c r="D476" s="13"/>
      <c r="E476" s="13"/>
      <c r="F476" s="13"/>
      <c r="G476" s="13"/>
      <c r="H476" s="13"/>
      <c r="I476" s="13"/>
      <c r="J476" s="18"/>
    </row>
    <row r="477" spans="1:10">
      <c r="A477" s="13"/>
      <c r="B477" s="13"/>
      <c r="C477" s="13"/>
      <c r="D477" s="13"/>
      <c r="E477" s="13"/>
      <c r="F477" s="13"/>
      <c r="G477" s="13"/>
      <c r="H477" s="13"/>
      <c r="I477" s="13"/>
      <c r="J477" s="18"/>
    </row>
    <row r="478" spans="1:10">
      <c r="A478" s="13"/>
      <c r="B478" s="13"/>
      <c r="C478" s="13"/>
      <c r="D478" s="13"/>
      <c r="E478" s="13"/>
      <c r="F478" s="13"/>
      <c r="G478" s="13"/>
      <c r="H478" s="13"/>
      <c r="I478" s="13"/>
      <c r="J478" s="18"/>
    </row>
    <row r="479" spans="1:10">
      <c r="A479" s="13"/>
      <c r="B479" s="13"/>
      <c r="C479" s="13"/>
      <c r="D479" s="13"/>
      <c r="E479" s="13"/>
      <c r="F479" s="13"/>
      <c r="G479" s="13"/>
      <c r="H479" s="13"/>
      <c r="I479" s="13"/>
      <c r="J479" s="18"/>
    </row>
    <row r="480" spans="1:10">
      <c r="A480" s="13"/>
      <c r="B480" s="13"/>
      <c r="C480" s="13"/>
      <c r="D480" s="13"/>
      <c r="E480" s="13"/>
      <c r="F480" s="13"/>
      <c r="G480" s="13"/>
      <c r="H480" s="13"/>
      <c r="I480" s="13"/>
      <c r="J480" s="18"/>
    </row>
    <row r="481" spans="1:10">
      <c r="A481" s="13"/>
      <c r="B481" s="13"/>
      <c r="C481" s="13"/>
      <c r="D481" s="13"/>
      <c r="E481" s="13"/>
      <c r="F481" s="13"/>
      <c r="G481" s="13"/>
      <c r="H481" s="13"/>
      <c r="I481" s="13"/>
      <c r="J481" s="18"/>
    </row>
    <row r="482" spans="1:10">
      <c r="A482" s="13"/>
      <c r="B482" s="13"/>
      <c r="C482" s="13"/>
      <c r="D482" s="13"/>
      <c r="E482" s="13"/>
      <c r="F482" s="13"/>
      <c r="G482" s="13"/>
      <c r="H482" s="13"/>
      <c r="I482" s="13"/>
      <c r="J482" s="18"/>
    </row>
    <row r="483" spans="1:10">
      <c r="A483" s="13"/>
      <c r="B483" s="13"/>
      <c r="C483" s="13"/>
      <c r="D483" s="13"/>
      <c r="E483" s="13"/>
      <c r="F483" s="13"/>
      <c r="G483" s="13"/>
      <c r="H483" s="13"/>
      <c r="I483" s="13"/>
      <c r="J483" s="18"/>
    </row>
    <row r="484" spans="1:10">
      <c r="A484" s="13"/>
      <c r="B484" s="13"/>
      <c r="C484" s="13"/>
      <c r="D484" s="13"/>
      <c r="E484" s="13"/>
      <c r="F484" s="13"/>
      <c r="G484" s="13"/>
      <c r="H484" s="13"/>
      <c r="I484" s="13"/>
      <c r="J484" s="18"/>
    </row>
    <row r="485" spans="1:10">
      <c r="A485" s="13"/>
      <c r="B485" s="13"/>
      <c r="C485" s="13"/>
      <c r="D485" s="13"/>
      <c r="E485" s="13"/>
      <c r="F485" s="13"/>
      <c r="G485" s="13"/>
      <c r="H485" s="13"/>
      <c r="I485" s="13"/>
      <c r="J485" s="18"/>
    </row>
    <row r="486" spans="1:10">
      <c r="A486" s="13"/>
      <c r="B486" s="13"/>
      <c r="C486" s="13"/>
      <c r="D486" s="13"/>
      <c r="E486" s="13"/>
      <c r="F486" s="13"/>
      <c r="G486" s="13"/>
      <c r="H486" s="13"/>
      <c r="I486" s="13"/>
      <c r="J486" s="18"/>
    </row>
    <row r="487" spans="1:10">
      <c r="A487" s="13"/>
      <c r="B487" s="13"/>
      <c r="C487" s="13"/>
      <c r="D487" s="13"/>
      <c r="E487" s="13"/>
      <c r="F487" s="13"/>
      <c r="G487" s="13"/>
      <c r="H487" s="13"/>
      <c r="I487" s="13"/>
      <c r="J487" s="18"/>
    </row>
    <row r="488" spans="1:10">
      <c r="A488" s="13"/>
      <c r="B488" s="13"/>
      <c r="C488" s="13"/>
      <c r="D488" s="13"/>
      <c r="E488" s="13"/>
      <c r="F488" s="13"/>
      <c r="G488" s="13"/>
      <c r="H488" s="13"/>
      <c r="I488" s="13"/>
      <c r="J488" s="18"/>
    </row>
    <row r="489" spans="1:10">
      <c r="A489" s="13"/>
      <c r="B489" s="13"/>
      <c r="C489" s="13"/>
      <c r="D489" s="13"/>
      <c r="E489" s="13"/>
      <c r="F489" s="13"/>
      <c r="G489" s="13"/>
      <c r="H489" s="13"/>
      <c r="I489" s="13"/>
      <c r="J489" s="18"/>
    </row>
    <row r="490" spans="1:10">
      <c r="A490" s="13"/>
      <c r="B490" s="13"/>
      <c r="C490" s="13"/>
      <c r="D490" s="13"/>
      <c r="E490" s="13"/>
      <c r="F490" s="13"/>
      <c r="G490" s="13"/>
      <c r="H490" s="13"/>
      <c r="I490" s="13"/>
      <c r="J490" s="18"/>
    </row>
    <row r="491" spans="1:10">
      <c r="A491" s="13"/>
      <c r="B491" s="13"/>
      <c r="C491" s="13"/>
      <c r="D491" s="13"/>
      <c r="E491" s="13"/>
      <c r="F491" s="13"/>
      <c r="G491" s="13"/>
      <c r="H491" s="13"/>
      <c r="I491" s="13"/>
      <c r="J491" s="18"/>
    </row>
    <row r="492" spans="1:10">
      <c r="A492" s="13"/>
      <c r="B492" s="13"/>
      <c r="C492" s="13"/>
      <c r="D492" s="13"/>
      <c r="E492" s="13"/>
      <c r="F492" s="13"/>
      <c r="G492" s="13"/>
      <c r="H492" s="13"/>
      <c r="I492" s="13"/>
      <c r="J492" s="18"/>
    </row>
    <row r="493" spans="1:10">
      <c r="A493" s="13"/>
      <c r="B493" s="13"/>
      <c r="C493" s="13"/>
      <c r="D493" s="13"/>
      <c r="E493" s="13"/>
      <c r="F493" s="13"/>
      <c r="G493" s="13"/>
      <c r="H493" s="13"/>
      <c r="I493" s="13"/>
      <c r="J493" s="18"/>
    </row>
    <row r="494" spans="1:10">
      <c r="A494" s="13"/>
      <c r="B494" s="13"/>
      <c r="C494" s="13"/>
      <c r="D494" s="13"/>
      <c r="E494" s="13"/>
      <c r="F494" s="13"/>
      <c r="G494" s="13"/>
      <c r="H494" s="13"/>
      <c r="I494" s="13"/>
      <c r="J494" s="18"/>
    </row>
    <row r="495" spans="1:10">
      <c r="A495" s="13"/>
      <c r="B495" s="13"/>
      <c r="C495" s="13"/>
      <c r="D495" s="13"/>
      <c r="E495" s="13"/>
      <c r="F495" s="13"/>
      <c r="G495" s="13"/>
      <c r="H495" s="13"/>
      <c r="I495" s="13"/>
      <c r="J495" s="18"/>
    </row>
    <row r="496" spans="1:10">
      <c r="A496" s="13"/>
      <c r="B496" s="13"/>
      <c r="C496" s="13"/>
      <c r="D496" s="13"/>
      <c r="E496" s="13"/>
      <c r="F496" s="13"/>
      <c r="G496" s="13"/>
      <c r="H496" s="13"/>
      <c r="I496" s="13"/>
      <c r="J496" s="18"/>
    </row>
    <row r="497" spans="1:10">
      <c r="A497" s="13"/>
      <c r="B497" s="13"/>
      <c r="C497" s="13"/>
      <c r="D497" s="13"/>
      <c r="E497" s="13"/>
      <c r="F497" s="13"/>
      <c r="G497" s="13"/>
      <c r="H497" s="13"/>
      <c r="I497" s="13"/>
      <c r="J497" s="18"/>
    </row>
    <row r="498" spans="1:10">
      <c r="A498" s="13"/>
      <c r="B498" s="13"/>
      <c r="C498" s="13"/>
      <c r="D498" s="13"/>
      <c r="E498" s="13"/>
      <c r="F498" s="13"/>
      <c r="G498" s="13"/>
      <c r="H498" s="13"/>
      <c r="I498" s="13"/>
      <c r="J498" s="18"/>
    </row>
    <row r="499" spans="1:10">
      <c r="A499" s="13"/>
      <c r="B499" s="13"/>
      <c r="C499" s="13"/>
      <c r="D499" s="13"/>
      <c r="E499" s="13"/>
      <c r="F499" s="13"/>
      <c r="G499" s="13"/>
      <c r="H499" s="13"/>
      <c r="I499" s="13"/>
      <c r="J499" s="18"/>
    </row>
    <row r="500" spans="1:10">
      <c r="A500" s="13"/>
      <c r="B500" s="13"/>
      <c r="C500" s="13"/>
      <c r="D500" s="13"/>
      <c r="E500" s="13"/>
      <c r="F500" s="13"/>
      <c r="G500" s="13"/>
      <c r="H500" s="13"/>
      <c r="I500" s="13"/>
      <c r="J500" s="18"/>
    </row>
    <row r="501" spans="1:10">
      <c r="A501" s="13"/>
      <c r="B501" s="13"/>
      <c r="C501" s="13"/>
      <c r="D501" s="13"/>
      <c r="E501" s="13"/>
      <c r="F501" s="13"/>
      <c r="G501" s="13"/>
      <c r="H501" s="13"/>
      <c r="I501" s="13"/>
      <c r="J501" s="18"/>
    </row>
    <row r="502" spans="1:10">
      <c r="A502" s="13"/>
      <c r="B502" s="13"/>
      <c r="C502" s="13"/>
      <c r="D502" s="13"/>
      <c r="E502" s="13"/>
      <c r="F502" s="13"/>
      <c r="G502" s="13"/>
      <c r="H502" s="13"/>
      <c r="I502" s="13"/>
      <c r="J502" s="18"/>
    </row>
    <row r="503" spans="1:10">
      <c r="A503" s="13"/>
      <c r="B503" s="13"/>
      <c r="C503" s="13"/>
      <c r="D503" s="13"/>
      <c r="E503" s="13"/>
      <c r="F503" s="13"/>
      <c r="G503" s="13"/>
      <c r="H503" s="13"/>
      <c r="I503" s="13"/>
      <c r="J503" s="18"/>
    </row>
    <row r="504" spans="1:10">
      <c r="A504" s="13"/>
      <c r="B504" s="13"/>
      <c r="C504" s="13"/>
      <c r="D504" s="13"/>
      <c r="E504" s="13"/>
      <c r="F504" s="13"/>
      <c r="G504" s="13"/>
      <c r="H504" s="13"/>
      <c r="I504" s="13"/>
      <c r="J504" s="18"/>
    </row>
    <row r="505" spans="1:10">
      <c r="A505" s="13"/>
      <c r="B505" s="13"/>
      <c r="C505" s="13"/>
      <c r="D505" s="13"/>
      <c r="E505" s="13"/>
      <c r="F505" s="13"/>
      <c r="G505" s="13"/>
      <c r="H505" s="13"/>
      <c r="I505" s="13"/>
      <c r="J505" s="18"/>
    </row>
    <row r="506" spans="1:10">
      <c r="A506" s="13"/>
      <c r="B506" s="13"/>
      <c r="C506" s="13"/>
      <c r="D506" s="13"/>
      <c r="E506" s="13"/>
      <c r="F506" s="13"/>
      <c r="G506" s="13"/>
      <c r="H506" s="13"/>
      <c r="I506" s="13"/>
      <c r="J506" s="18"/>
    </row>
    <row r="507" spans="1:10">
      <c r="A507" s="13"/>
      <c r="B507" s="13"/>
      <c r="C507" s="13"/>
      <c r="D507" s="13"/>
      <c r="E507" s="13"/>
      <c r="F507" s="13"/>
      <c r="G507" s="13"/>
      <c r="H507" s="13"/>
      <c r="I507" s="13"/>
      <c r="J507" s="18"/>
    </row>
    <row r="508" spans="1:10">
      <c r="A508" s="13"/>
      <c r="B508" s="13"/>
      <c r="C508" s="13"/>
      <c r="D508" s="13"/>
      <c r="E508" s="13"/>
      <c r="F508" s="13"/>
      <c r="G508" s="13"/>
      <c r="H508" s="13"/>
      <c r="I508" s="13"/>
      <c r="J508" s="18"/>
    </row>
    <row r="509" spans="1:10">
      <c r="A509" s="13"/>
      <c r="B509" s="13"/>
      <c r="C509" s="13"/>
      <c r="D509" s="13"/>
      <c r="E509" s="13"/>
      <c r="F509" s="13"/>
      <c r="G509" s="13"/>
      <c r="H509" s="13"/>
      <c r="I509" s="13"/>
      <c r="J509" s="18"/>
    </row>
    <row r="510" spans="1:10">
      <c r="A510" s="13"/>
      <c r="B510" s="13"/>
      <c r="C510" s="13"/>
      <c r="D510" s="13"/>
      <c r="E510" s="13"/>
      <c r="F510" s="13"/>
      <c r="G510" s="13"/>
      <c r="H510" s="13"/>
      <c r="I510" s="13"/>
      <c r="J510" s="18"/>
    </row>
    <row r="511" spans="1:10">
      <c r="A511" s="13"/>
      <c r="B511" s="13"/>
      <c r="C511" s="13"/>
      <c r="D511" s="13"/>
      <c r="E511" s="13"/>
      <c r="F511" s="13"/>
      <c r="G511" s="13"/>
      <c r="H511" s="13"/>
      <c r="I511" s="13"/>
      <c r="J511" s="18"/>
    </row>
    <row r="512" spans="1:10">
      <c r="A512" s="13"/>
      <c r="B512" s="13"/>
      <c r="C512" s="13"/>
      <c r="D512" s="13"/>
      <c r="E512" s="13"/>
      <c r="F512" s="13"/>
      <c r="G512" s="13"/>
      <c r="H512" s="13"/>
      <c r="I512" s="13"/>
      <c r="J512" s="18"/>
    </row>
    <row r="513" spans="1:10">
      <c r="A513" s="13"/>
      <c r="B513" s="13"/>
      <c r="C513" s="13"/>
      <c r="D513" s="13"/>
      <c r="E513" s="13"/>
      <c r="F513" s="13"/>
      <c r="G513" s="13"/>
      <c r="H513" s="13"/>
      <c r="I513" s="13"/>
      <c r="J513" s="18"/>
    </row>
    <row r="514" spans="1:10">
      <c r="A514" s="13"/>
      <c r="B514" s="13"/>
      <c r="C514" s="13"/>
      <c r="D514" s="13"/>
      <c r="E514" s="13"/>
      <c r="F514" s="13"/>
      <c r="G514" s="13"/>
      <c r="H514" s="13"/>
      <c r="I514" s="13"/>
      <c r="J514" s="18"/>
    </row>
    <row r="515" spans="1:10">
      <c r="A515" s="13"/>
      <c r="B515" s="13"/>
      <c r="C515" s="13"/>
      <c r="D515" s="13"/>
      <c r="E515" s="13"/>
      <c r="F515" s="13"/>
      <c r="G515" s="13"/>
      <c r="H515" s="13"/>
      <c r="I515" s="13"/>
      <c r="J515" s="18"/>
    </row>
    <row r="516" spans="1:10">
      <c r="A516" s="13"/>
      <c r="B516" s="13"/>
      <c r="C516" s="13"/>
      <c r="D516" s="13"/>
      <c r="E516" s="13"/>
      <c r="F516" s="13"/>
      <c r="G516" s="13"/>
      <c r="H516" s="13"/>
      <c r="I516" s="13"/>
      <c r="J516" s="18"/>
    </row>
    <row r="517" spans="1:10">
      <c r="A517" s="13"/>
      <c r="B517" s="13"/>
      <c r="C517" s="13"/>
      <c r="D517" s="13"/>
      <c r="E517" s="13"/>
      <c r="F517" s="13"/>
      <c r="G517" s="13"/>
      <c r="H517" s="13"/>
      <c r="I517" s="13"/>
      <c r="J517" s="18"/>
    </row>
    <row r="518" spans="1:10">
      <c r="A518" s="13"/>
      <c r="B518" s="13"/>
      <c r="C518" s="13"/>
      <c r="D518" s="13"/>
      <c r="E518" s="13"/>
      <c r="F518" s="13"/>
      <c r="G518" s="13"/>
      <c r="H518" s="13"/>
      <c r="I518" s="13"/>
      <c r="J518" s="18"/>
    </row>
    <row r="519" spans="1:10">
      <c r="A519" s="13"/>
      <c r="B519" s="13"/>
      <c r="C519" s="13"/>
      <c r="D519" s="13"/>
      <c r="E519" s="13"/>
      <c r="F519" s="13"/>
      <c r="G519" s="13"/>
      <c r="H519" s="13"/>
      <c r="I519" s="13"/>
      <c r="J519" s="18"/>
    </row>
    <row r="520" spans="1:10">
      <c r="A520" s="13"/>
      <c r="B520" s="13"/>
      <c r="C520" s="13"/>
      <c r="D520" s="13"/>
      <c r="E520" s="13"/>
      <c r="F520" s="13"/>
      <c r="G520" s="13"/>
      <c r="H520" s="13"/>
      <c r="I520" s="13"/>
      <c r="J520" s="18"/>
    </row>
    <row r="521" spans="1:10">
      <c r="A521" s="13"/>
      <c r="B521" s="13"/>
      <c r="C521" s="13"/>
      <c r="D521" s="13"/>
      <c r="E521" s="13"/>
      <c r="F521" s="13"/>
      <c r="G521" s="13"/>
      <c r="H521" s="13"/>
      <c r="I521" s="13"/>
      <c r="J521" s="18"/>
    </row>
    <row r="522" spans="1:10">
      <c r="A522" s="13"/>
      <c r="B522" s="13"/>
      <c r="C522" s="13"/>
      <c r="D522" s="13"/>
      <c r="E522" s="13"/>
      <c r="F522" s="13"/>
      <c r="G522" s="13"/>
      <c r="H522" s="13"/>
      <c r="I522" s="13"/>
      <c r="J522" s="18"/>
    </row>
    <row r="523" spans="1:10">
      <c r="A523" s="13"/>
      <c r="B523" s="13"/>
      <c r="C523" s="13"/>
      <c r="D523" s="13"/>
      <c r="E523" s="13"/>
      <c r="F523" s="13"/>
      <c r="G523" s="13"/>
      <c r="H523" s="13"/>
      <c r="I523" s="13"/>
      <c r="J523" s="18"/>
    </row>
    <row r="524" spans="1:10">
      <c r="A524" s="13"/>
      <c r="B524" s="13"/>
      <c r="C524" s="13"/>
      <c r="D524" s="13"/>
      <c r="E524" s="13"/>
      <c r="F524" s="13"/>
      <c r="G524" s="13"/>
      <c r="H524" s="13"/>
      <c r="I524" s="13"/>
      <c r="J524" s="18"/>
    </row>
    <row r="525" spans="1:10">
      <c r="A525" s="13"/>
      <c r="B525" s="13"/>
      <c r="C525" s="13"/>
      <c r="D525" s="13"/>
      <c r="E525" s="13"/>
      <c r="F525" s="13"/>
      <c r="G525" s="13"/>
      <c r="H525" s="13"/>
      <c r="I525" s="13"/>
      <c r="J525" s="18"/>
    </row>
    <row r="526" spans="1:10">
      <c r="A526" s="13"/>
      <c r="B526" s="13"/>
      <c r="C526" s="13"/>
      <c r="D526" s="13"/>
      <c r="E526" s="13"/>
      <c r="F526" s="13"/>
      <c r="G526" s="13"/>
      <c r="H526" s="13"/>
      <c r="I526" s="13"/>
      <c r="J526" s="18"/>
    </row>
    <row r="527" spans="1:10">
      <c r="A527" s="13"/>
      <c r="B527" s="13"/>
      <c r="C527" s="13"/>
      <c r="D527" s="13"/>
      <c r="E527" s="13"/>
      <c r="F527" s="13"/>
      <c r="G527" s="13"/>
      <c r="H527" s="13"/>
      <c r="I527" s="13"/>
      <c r="J527" s="18"/>
    </row>
    <row r="528" spans="1:10">
      <c r="A528" s="13"/>
      <c r="B528" s="13"/>
      <c r="C528" s="13"/>
      <c r="D528" s="13"/>
      <c r="E528" s="13"/>
      <c r="F528" s="13"/>
      <c r="G528" s="13"/>
      <c r="H528" s="13"/>
      <c r="I528" s="13"/>
      <c r="J528" s="18"/>
    </row>
    <row r="529" spans="1:10">
      <c r="A529" s="13"/>
      <c r="B529" s="13"/>
      <c r="C529" s="13"/>
      <c r="D529" s="13"/>
      <c r="E529" s="13"/>
      <c r="F529" s="13"/>
      <c r="G529" s="13"/>
      <c r="H529" s="13"/>
      <c r="I529" s="13"/>
      <c r="J529" s="18"/>
    </row>
    <row r="530" spans="1:10">
      <c r="A530" s="13"/>
      <c r="B530" s="13"/>
      <c r="C530" s="13"/>
      <c r="D530" s="13"/>
      <c r="E530" s="13"/>
      <c r="F530" s="13"/>
      <c r="G530" s="13"/>
      <c r="H530" s="13"/>
      <c r="I530" s="13"/>
      <c r="J530" s="18"/>
    </row>
    <row r="531" spans="1:10">
      <c r="A531" s="13"/>
      <c r="B531" s="13"/>
      <c r="C531" s="13"/>
      <c r="D531" s="13"/>
      <c r="E531" s="13"/>
      <c r="F531" s="13"/>
      <c r="G531" s="13"/>
      <c r="H531" s="13"/>
      <c r="I531" s="13"/>
      <c r="J531" s="18"/>
    </row>
    <row r="532" spans="1:10">
      <c r="A532" s="13"/>
      <c r="B532" s="13"/>
      <c r="C532" s="13"/>
      <c r="D532" s="13"/>
      <c r="E532" s="13"/>
      <c r="F532" s="13"/>
      <c r="G532" s="13"/>
      <c r="H532" s="13"/>
      <c r="I532" s="13"/>
      <c r="J532" s="18"/>
    </row>
    <row r="533" spans="1:10">
      <c r="A533" s="13"/>
      <c r="B533" s="13"/>
      <c r="C533" s="13"/>
      <c r="D533" s="13"/>
      <c r="E533" s="13"/>
      <c r="F533" s="13"/>
      <c r="G533" s="13"/>
      <c r="H533" s="13"/>
      <c r="I533" s="13"/>
      <c r="J533" s="18"/>
    </row>
    <row r="534" spans="1:10">
      <c r="A534" s="13"/>
      <c r="B534" s="13"/>
      <c r="C534" s="13"/>
      <c r="D534" s="13"/>
      <c r="E534" s="13"/>
      <c r="F534" s="13"/>
      <c r="G534" s="13"/>
      <c r="H534" s="13"/>
      <c r="I534" s="13"/>
      <c r="J534" s="18"/>
    </row>
    <row r="535" spans="1:10">
      <c r="A535" s="13"/>
      <c r="B535" s="13"/>
      <c r="C535" s="13"/>
      <c r="D535" s="13"/>
      <c r="E535" s="13"/>
      <c r="F535" s="13"/>
      <c r="G535" s="13"/>
      <c r="H535" s="13"/>
      <c r="I535" s="13"/>
      <c r="J535" s="18"/>
    </row>
    <row r="536" spans="1:10">
      <c r="A536" s="13"/>
      <c r="B536" s="13"/>
      <c r="C536" s="13"/>
      <c r="D536" s="13"/>
      <c r="E536" s="13"/>
      <c r="F536" s="13"/>
      <c r="G536" s="13"/>
      <c r="H536" s="13"/>
      <c r="I536" s="13"/>
      <c r="J536" s="18"/>
    </row>
    <row r="537" spans="1:10">
      <c r="A537" s="13"/>
      <c r="B537" s="13"/>
      <c r="C537" s="13"/>
      <c r="D537" s="13"/>
      <c r="E537" s="13"/>
      <c r="F537" s="13"/>
      <c r="G537" s="13"/>
      <c r="H537" s="13"/>
      <c r="I537" s="13"/>
      <c r="J537" s="18"/>
    </row>
    <row r="538" spans="1:10">
      <c r="A538" s="13"/>
      <c r="B538" s="13"/>
      <c r="C538" s="13"/>
      <c r="D538" s="13"/>
      <c r="E538" s="13"/>
      <c r="F538" s="13"/>
      <c r="G538" s="13"/>
      <c r="H538" s="13"/>
      <c r="I538" s="13"/>
      <c r="J538" s="18"/>
    </row>
    <row r="539" spans="1:10">
      <c r="A539" s="13"/>
      <c r="B539" s="13"/>
      <c r="C539" s="13"/>
      <c r="D539" s="13"/>
      <c r="E539" s="13"/>
      <c r="F539" s="13"/>
      <c r="G539" s="13"/>
      <c r="H539" s="13"/>
      <c r="I539" s="13"/>
      <c r="J539" s="18"/>
    </row>
    <row r="540" spans="1:10">
      <c r="A540" s="13"/>
      <c r="B540" s="13"/>
      <c r="C540" s="13"/>
      <c r="D540" s="13"/>
      <c r="E540" s="13"/>
      <c r="F540" s="13"/>
      <c r="G540" s="13"/>
      <c r="H540" s="13"/>
      <c r="I540" s="13"/>
      <c r="J540" s="18"/>
    </row>
    <row r="541" spans="1:10">
      <c r="A541" s="13"/>
      <c r="B541" s="13"/>
      <c r="C541" s="13"/>
      <c r="D541" s="13"/>
      <c r="E541" s="13"/>
      <c r="F541" s="13"/>
      <c r="G541" s="13"/>
      <c r="H541" s="13"/>
      <c r="I541" s="13"/>
      <c r="J541" s="18"/>
    </row>
    <row r="542" spans="1:10">
      <c r="A542" s="13"/>
      <c r="B542" s="13"/>
      <c r="C542" s="13"/>
      <c r="D542" s="13"/>
      <c r="E542" s="13"/>
      <c r="F542" s="13"/>
      <c r="G542" s="13"/>
      <c r="H542" s="13"/>
      <c r="I542" s="13"/>
      <c r="J542" s="18"/>
    </row>
    <row r="543" spans="1:10">
      <c r="A543" s="13"/>
      <c r="B543" s="13"/>
      <c r="C543" s="13"/>
      <c r="D543" s="13"/>
      <c r="E543" s="13"/>
      <c r="F543" s="13"/>
      <c r="G543" s="13"/>
      <c r="H543" s="13"/>
      <c r="I543" s="13"/>
      <c r="J543" s="18"/>
    </row>
    <row r="544" spans="1:10">
      <c r="A544" s="13"/>
      <c r="B544" s="13"/>
      <c r="C544" s="13"/>
      <c r="D544" s="13"/>
      <c r="E544" s="13"/>
      <c r="F544" s="13"/>
      <c r="G544" s="13"/>
      <c r="H544" s="13"/>
      <c r="I544" s="13"/>
      <c r="J544" s="18"/>
    </row>
    <row r="545" spans="1:10">
      <c r="A545" s="13"/>
      <c r="B545" s="13"/>
      <c r="C545" s="13"/>
      <c r="D545" s="13"/>
      <c r="E545" s="13"/>
      <c r="F545" s="13"/>
      <c r="G545" s="13"/>
      <c r="H545" s="13"/>
      <c r="I545" s="13"/>
      <c r="J545" s="18"/>
    </row>
    <row r="546" spans="1:10">
      <c r="A546" s="13"/>
      <c r="B546" s="13"/>
      <c r="C546" s="13"/>
      <c r="D546" s="13"/>
      <c r="E546" s="13"/>
      <c r="F546" s="13"/>
      <c r="G546" s="13"/>
      <c r="H546" s="13"/>
      <c r="I546" s="13"/>
      <c r="J546" s="18"/>
    </row>
    <row r="547" spans="1:10">
      <c r="A547" s="13"/>
      <c r="B547" s="13"/>
      <c r="C547" s="13"/>
      <c r="D547" s="13"/>
      <c r="E547" s="13"/>
      <c r="F547" s="13"/>
      <c r="G547" s="13"/>
      <c r="H547" s="13"/>
      <c r="I547" s="13"/>
      <c r="J547" s="18"/>
    </row>
    <row r="548" spans="1:10">
      <c r="A548" s="13"/>
      <c r="B548" s="13"/>
      <c r="C548" s="13"/>
      <c r="D548" s="13"/>
      <c r="E548" s="13"/>
      <c r="F548" s="13"/>
      <c r="G548" s="13"/>
      <c r="H548" s="13"/>
      <c r="I548" s="13"/>
      <c r="J548" s="18"/>
    </row>
    <row r="549" spans="1:10">
      <c r="A549" s="13"/>
      <c r="B549" s="13"/>
      <c r="C549" s="13"/>
      <c r="D549" s="13"/>
      <c r="E549" s="13"/>
      <c r="F549" s="13"/>
      <c r="G549" s="13"/>
      <c r="H549" s="13"/>
      <c r="I549" s="13"/>
      <c r="J549" s="18"/>
    </row>
    <row r="550" spans="1:10">
      <c r="A550" s="13"/>
      <c r="B550" s="13"/>
      <c r="C550" s="13"/>
      <c r="D550" s="13"/>
      <c r="E550" s="13"/>
      <c r="F550" s="13"/>
      <c r="G550" s="13"/>
      <c r="H550" s="13"/>
      <c r="I550" s="13"/>
      <c r="J550" s="18"/>
    </row>
    <row r="551" spans="1:10">
      <c r="A551" s="13"/>
      <c r="B551" s="13"/>
      <c r="C551" s="13"/>
      <c r="D551" s="13"/>
      <c r="E551" s="13"/>
      <c r="F551" s="13"/>
      <c r="G551" s="13"/>
      <c r="H551" s="13"/>
      <c r="I551" s="13"/>
      <c r="J551" s="18"/>
    </row>
    <row r="552" spans="1:10">
      <c r="A552" s="13"/>
      <c r="B552" s="13"/>
      <c r="C552" s="13"/>
      <c r="D552" s="13"/>
      <c r="E552" s="13"/>
      <c r="F552" s="13"/>
      <c r="G552" s="13"/>
      <c r="H552" s="13"/>
      <c r="I552" s="13"/>
      <c r="J552" s="18"/>
    </row>
    <row r="553" spans="1:10">
      <c r="A553" s="13"/>
      <c r="B553" s="13"/>
      <c r="C553" s="13"/>
      <c r="D553" s="13"/>
      <c r="E553" s="13"/>
      <c r="F553" s="13"/>
      <c r="G553" s="13"/>
      <c r="H553" s="13"/>
      <c r="I553" s="13"/>
      <c r="J553" s="18"/>
    </row>
    <row r="554" spans="1:10">
      <c r="A554" s="13"/>
      <c r="B554" s="13"/>
      <c r="C554" s="13"/>
      <c r="D554" s="13"/>
      <c r="E554" s="13"/>
      <c r="F554" s="13"/>
      <c r="G554" s="13"/>
      <c r="H554" s="13"/>
      <c r="I554" s="13"/>
      <c r="J554" s="18"/>
    </row>
  </sheetData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3"/>
  <sheetViews>
    <sheetView workbookViewId="0">
      <pane xSplit="1" topLeftCell="B1" activePane="topRight" state="frozen"/>
      <selection pane="topRight"/>
    </sheetView>
  </sheetViews>
  <sheetFormatPr defaultRowHeight="14.4"/>
  <cols>
    <col min="1" max="1" width="9.33203125" customWidth="1"/>
    <col min="2" max="3" width="42.109375" customWidth="1"/>
    <col min="4" max="6" width="38" customWidth="1"/>
    <col min="7" max="7" width="22" customWidth="1"/>
    <col min="8" max="9" width="28" customWidth="1"/>
    <col min="10" max="24" width="13.5546875" customWidth="1"/>
  </cols>
  <sheetData>
    <row r="1" spans="1:9">
      <c r="A1" s="12" t="s">
        <v>0</v>
      </c>
      <c r="B1" s="12" t="s">
        <v>1379</v>
      </c>
      <c r="C1" s="12" t="s">
        <v>1380</v>
      </c>
      <c r="D1" s="12" t="s">
        <v>1381</v>
      </c>
      <c r="E1" s="12" t="s">
        <v>1125</v>
      </c>
      <c r="F1" s="12" t="s">
        <v>1382</v>
      </c>
      <c r="G1" s="51" t="s">
        <v>1383</v>
      </c>
      <c r="H1" s="12" t="s">
        <v>1384</v>
      </c>
      <c r="I1" s="12" t="s">
        <v>1385</v>
      </c>
    </row>
    <row r="2" spans="1:9">
      <c r="A2" s="12" t="s">
        <v>78</v>
      </c>
      <c r="B2" s="12" t="s">
        <v>81</v>
      </c>
      <c r="C2" s="12" t="s">
        <v>81</v>
      </c>
      <c r="D2" s="12" t="s">
        <v>81</v>
      </c>
      <c r="E2" s="12">
        <v>1</v>
      </c>
      <c r="F2" s="12" t="s">
        <v>1386</v>
      </c>
      <c r="G2" s="51">
        <v>100</v>
      </c>
      <c r="H2" s="12" t="s">
        <v>1387</v>
      </c>
      <c r="I2" s="12" t="s">
        <v>1388</v>
      </c>
    </row>
    <row r="3" spans="1:9">
      <c r="A3" s="12" t="s">
        <v>116</v>
      </c>
      <c r="B3" s="12" t="s">
        <v>81</v>
      </c>
      <c r="C3" s="12" t="s">
        <v>81</v>
      </c>
      <c r="D3" s="12" t="s">
        <v>81</v>
      </c>
      <c r="E3" s="12">
        <v>1</v>
      </c>
      <c r="F3" s="12" t="s">
        <v>1389</v>
      </c>
      <c r="G3" s="51">
        <v>15</v>
      </c>
      <c r="H3" s="12" t="s">
        <v>1390</v>
      </c>
      <c r="I3" s="12" t="s">
        <v>1391</v>
      </c>
    </row>
    <row r="4" spans="1:9">
      <c r="A4" s="12" t="s">
        <v>116</v>
      </c>
      <c r="B4" s="12"/>
      <c r="C4" s="12"/>
      <c r="D4" s="12"/>
      <c r="E4" s="12">
        <v>2</v>
      </c>
      <c r="F4" s="12" t="s">
        <v>1392</v>
      </c>
      <c r="G4" s="51">
        <v>20</v>
      </c>
      <c r="H4" s="12" t="s">
        <v>1393</v>
      </c>
      <c r="I4" s="12" t="s">
        <v>1394</v>
      </c>
    </row>
    <row r="5" spans="1:9">
      <c r="A5" s="12" t="s">
        <v>116</v>
      </c>
      <c r="B5" s="12"/>
      <c r="C5" s="12"/>
      <c r="D5" s="12"/>
      <c r="E5" s="12">
        <v>3</v>
      </c>
      <c r="F5" s="12" t="s">
        <v>1395</v>
      </c>
      <c r="G5" s="51">
        <v>10</v>
      </c>
      <c r="H5" s="12" t="s">
        <v>1396</v>
      </c>
      <c r="I5" s="12" t="s">
        <v>1397</v>
      </c>
    </row>
    <row r="6" spans="1:9">
      <c r="A6" s="12" t="s">
        <v>116</v>
      </c>
      <c r="B6" s="12"/>
      <c r="C6" s="12"/>
      <c r="D6" s="12"/>
      <c r="E6" s="12">
        <v>4</v>
      </c>
      <c r="F6" s="12" t="s">
        <v>1398</v>
      </c>
      <c r="G6" s="51">
        <v>10</v>
      </c>
      <c r="H6" s="12" t="s">
        <v>1399</v>
      </c>
      <c r="I6" s="12" t="s">
        <v>1400</v>
      </c>
    </row>
    <row r="7" spans="1:9">
      <c r="A7" s="12" t="s">
        <v>116</v>
      </c>
      <c r="B7" s="12"/>
      <c r="C7" s="12"/>
      <c r="D7" s="12"/>
      <c r="E7" s="12">
        <v>5</v>
      </c>
      <c r="F7" s="12" t="s">
        <v>1401</v>
      </c>
      <c r="G7" s="51">
        <v>15</v>
      </c>
      <c r="H7" s="12" t="s">
        <v>1402</v>
      </c>
      <c r="I7" s="12" t="s">
        <v>1403</v>
      </c>
    </row>
    <row r="8" spans="1:9">
      <c r="A8" s="12" t="s">
        <v>116</v>
      </c>
      <c r="B8" s="12"/>
      <c r="C8" s="12"/>
      <c r="D8" s="12"/>
      <c r="E8" s="12">
        <v>6</v>
      </c>
      <c r="F8" s="12" t="s">
        <v>1404</v>
      </c>
      <c r="G8" s="51">
        <v>10</v>
      </c>
      <c r="H8" s="12" t="s">
        <v>1405</v>
      </c>
      <c r="I8" s="12" t="s">
        <v>1406</v>
      </c>
    </row>
    <row r="9" spans="1:9">
      <c r="A9" s="12" t="s">
        <v>116</v>
      </c>
      <c r="B9" s="12"/>
      <c r="C9" s="12"/>
      <c r="D9" s="12"/>
      <c r="E9" s="12">
        <v>7</v>
      </c>
      <c r="F9" s="12" t="s">
        <v>1404</v>
      </c>
      <c r="G9" s="51">
        <v>5</v>
      </c>
      <c r="H9" s="12" t="s">
        <v>1407</v>
      </c>
      <c r="I9" s="12" t="s">
        <v>1408</v>
      </c>
    </row>
    <row r="10" spans="1:9">
      <c r="A10" s="12" t="s">
        <v>116</v>
      </c>
      <c r="B10" s="12"/>
      <c r="C10" s="12"/>
      <c r="D10" s="12"/>
      <c r="E10" s="12">
        <v>8</v>
      </c>
      <c r="F10" s="12" t="s">
        <v>1409</v>
      </c>
      <c r="G10" s="51">
        <v>5</v>
      </c>
      <c r="H10" s="12" t="s">
        <v>1410</v>
      </c>
      <c r="I10" s="12" t="s">
        <v>1411</v>
      </c>
    </row>
    <row r="11" spans="1:9">
      <c r="A11" s="12" t="s">
        <v>116</v>
      </c>
      <c r="B11" s="12"/>
      <c r="C11" s="12"/>
      <c r="D11" s="12"/>
      <c r="E11" s="12">
        <v>9</v>
      </c>
      <c r="F11" s="12" t="s">
        <v>1404</v>
      </c>
      <c r="G11" s="51">
        <v>5</v>
      </c>
      <c r="H11" s="12" t="s">
        <v>1412</v>
      </c>
      <c r="I11" s="12" t="s">
        <v>1413</v>
      </c>
    </row>
    <row r="12" spans="1:9">
      <c r="A12" s="12" t="s">
        <v>116</v>
      </c>
      <c r="B12" s="12"/>
      <c r="C12" s="12"/>
      <c r="D12" s="12"/>
      <c r="E12" s="12">
        <v>10</v>
      </c>
      <c r="F12" s="12" t="s">
        <v>1398</v>
      </c>
      <c r="G12" s="51">
        <v>5</v>
      </c>
      <c r="H12" s="12" t="s">
        <v>1399</v>
      </c>
      <c r="I12" s="12" t="s">
        <v>1400</v>
      </c>
    </row>
    <row r="13" spans="1:9">
      <c r="A13" s="12" t="s">
        <v>151</v>
      </c>
      <c r="B13" s="12" t="s">
        <v>81</v>
      </c>
      <c r="C13" s="12" t="s">
        <v>81</v>
      </c>
      <c r="D13" s="12" t="s">
        <v>81</v>
      </c>
      <c r="E13" s="12">
        <v>1</v>
      </c>
      <c r="F13" s="12" t="s">
        <v>1392</v>
      </c>
      <c r="G13" s="51">
        <v>100</v>
      </c>
      <c r="H13" s="12" t="s">
        <v>1393</v>
      </c>
      <c r="I13" s="12" t="s">
        <v>1394</v>
      </c>
    </row>
    <row r="14" spans="1:9">
      <c r="A14" s="12" t="s">
        <v>188</v>
      </c>
      <c r="B14" s="12" t="s">
        <v>81</v>
      </c>
      <c r="C14" s="12" t="s">
        <v>81</v>
      </c>
      <c r="D14" s="12" t="s">
        <v>81</v>
      </c>
      <c r="E14" s="12">
        <v>1</v>
      </c>
      <c r="F14" s="12" t="s">
        <v>1395</v>
      </c>
      <c r="G14" s="51">
        <v>100</v>
      </c>
      <c r="H14" s="12" t="s">
        <v>1396</v>
      </c>
      <c r="I14" s="12" t="s">
        <v>1397</v>
      </c>
    </row>
    <row r="15" spans="1:9">
      <c r="A15" s="12" t="s">
        <v>217</v>
      </c>
      <c r="B15" s="12" t="s">
        <v>81</v>
      </c>
      <c r="C15" s="12" t="s">
        <v>81</v>
      </c>
      <c r="D15" s="12" t="s">
        <v>81</v>
      </c>
      <c r="E15" s="12">
        <v>1</v>
      </c>
      <c r="F15" s="12" t="s">
        <v>1414</v>
      </c>
      <c r="G15" s="51">
        <v>25</v>
      </c>
      <c r="H15" s="12" t="s">
        <v>1405</v>
      </c>
      <c r="I15" s="12" t="s">
        <v>1415</v>
      </c>
    </row>
    <row r="16" spans="1:9">
      <c r="A16" s="12" t="s">
        <v>217</v>
      </c>
      <c r="B16" s="12"/>
      <c r="C16" s="12"/>
      <c r="D16" s="12"/>
      <c r="E16" s="12">
        <v>2</v>
      </c>
      <c r="F16" s="12" t="s">
        <v>1416</v>
      </c>
      <c r="G16" s="51">
        <v>20</v>
      </c>
      <c r="H16" s="12" t="s">
        <v>1417</v>
      </c>
      <c r="I16" s="12" t="s">
        <v>1418</v>
      </c>
    </row>
    <row r="17" spans="1:9">
      <c r="A17" s="12" t="s">
        <v>217</v>
      </c>
      <c r="B17" s="12"/>
      <c r="C17" s="12"/>
      <c r="D17" s="12"/>
      <c r="E17" s="12">
        <v>3</v>
      </c>
      <c r="F17" s="12" t="s">
        <v>1419</v>
      </c>
      <c r="G17" s="51">
        <v>25</v>
      </c>
      <c r="H17" s="12" t="s">
        <v>1420</v>
      </c>
      <c r="I17" s="12" t="s">
        <v>1421</v>
      </c>
    </row>
    <row r="18" spans="1:9">
      <c r="A18" s="12" t="s">
        <v>217</v>
      </c>
      <c r="B18" s="12"/>
      <c r="C18" s="12"/>
      <c r="D18" s="12"/>
      <c r="E18" s="12">
        <v>4</v>
      </c>
      <c r="F18" s="12" t="s">
        <v>1422</v>
      </c>
      <c r="G18" s="51">
        <v>30</v>
      </c>
      <c r="H18" s="12" t="s">
        <v>1423</v>
      </c>
      <c r="I18" s="12" t="s">
        <v>1424</v>
      </c>
    </row>
    <row r="19" spans="1:9">
      <c r="A19" s="12" t="s">
        <v>251</v>
      </c>
      <c r="B19" s="12" t="s">
        <v>81</v>
      </c>
      <c r="C19" s="12" t="s">
        <v>81</v>
      </c>
      <c r="D19" s="12" t="s">
        <v>81</v>
      </c>
      <c r="E19" s="12">
        <v>1</v>
      </c>
      <c r="F19" s="12" t="s">
        <v>1401</v>
      </c>
      <c r="G19" s="51">
        <v>100</v>
      </c>
      <c r="H19" s="12" t="s">
        <v>1402</v>
      </c>
      <c r="I19" s="12" t="s">
        <v>1403</v>
      </c>
    </row>
    <row r="20" spans="1:9">
      <c r="A20" s="12" t="s">
        <v>280</v>
      </c>
      <c r="B20" s="12" t="s">
        <v>80</v>
      </c>
      <c r="C20" s="12" t="s">
        <v>81</v>
      </c>
      <c r="D20" s="12" t="s">
        <v>81</v>
      </c>
      <c r="E20" s="12">
        <v>1</v>
      </c>
      <c r="F20" s="12" t="s">
        <v>1404</v>
      </c>
      <c r="G20" s="51">
        <v>100</v>
      </c>
      <c r="H20" s="12" t="s">
        <v>1405</v>
      </c>
      <c r="I20" s="12" t="s">
        <v>1406</v>
      </c>
    </row>
    <row r="21" spans="1:9">
      <c r="A21" s="12" t="s">
        <v>309</v>
      </c>
      <c r="B21" s="12" t="s">
        <v>80</v>
      </c>
      <c r="C21" s="12" t="s">
        <v>80</v>
      </c>
      <c r="D21" s="12" t="s">
        <v>81</v>
      </c>
      <c r="E21" s="12">
        <v>1</v>
      </c>
      <c r="F21" s="12" t="s">
        <v>1404</v>
      </c>
      <c r="G21" s="51">
        <v>100</v>
      </c>
      <c r="H21" s="12" t="s">
        <v>1407</v>
      </c>
      <c r="I21" s="12" t="s">
        <v>1408</v>
      </c>
    </row>
    <row r="22" spans="1:9">
      <c r="A22" s="12" t="s">
        <v>339</v>
      </c>
      <c r="B22" s="12" t="s">
        <v>80</v>
      </c>
      <c r="C22" s="12" t="s">
        <v>81</v>
      </c>
      <c r="D22" s="12" t="s">
        <v>80</v>
      </c>
      <c r="E22" s="12">
        <v>1</v>
      </c>
      <c r="F22" s="12" t="s">
        <v>1409</v>
      </c>
      <c r="G22" s="51">
        <v>100</v>
      </c>
      <c r="H22" s="12" t="s">
        <v>1410</v>
      </c>
      <c r="I22" s="12" t="s">
        <v>1411</v>
      </c>
    </row>
    <row r="23" spans="1:9">
      <c r="A23" s="12" t="s">
        <v>369</v>
      </c>
      <c r="B23" s="12" t="s">
        <v>80</v>
      </c>
      <c r="C23" s="12" t="s">
        <v>81</v>
      </c>
      <c r="D23" s="12" t="s">
        <v>81</v>
      </c>
      <c r="E23" s="12">
        <v>1</v>
      </c>
      <c r="F23" s="12" t="s">
        <v>1404</v>
      </c>
      <c r="G23" s="51">
        <v>100</v>
      </c>
      <c r="H23" s="12" t="s">
        <v>1412</v>
      </c>
      <c r="I23" s="12" t="s">
        <v>1413</v>
      </c>
    </row>
  </sheetData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51"/>
  <sheetViews>
    <sheetView workbookViewId="0"/>
  </sheetViews>
  <sheetFormatPr defaultRowHeight="14.4"/>
  <cols>
    <col min="1" max="1" width="9.33203125" customWidth="1"/>
    <col min="2" max="2" width="42.109375" customWidth="1"/>
    <col min="3" max="3" width="42" customWidth="1"/>
    <col min="4" max="4" width="42.109375" customWidth="1"/>
    <col min="5" max="7" width="29" customWidth="1"/>
    <col min="8" max="8" width="42.109375" customWidth="1"/>
    <col min="9" max="9" width="14" customWidth="1"/>
    <col min="10" max="10" width="32" customWidth="1"/>
    <col min="11" max="11" width="26" customWidth="1"/>
    <col min="12" max="13" width="31" customWidth="1"/>
    <col min="14" max="14" width="42" customWidth="1"/>
    <col min="15" max="15" width="18" customWidth="1"/>
    <col min="16" max="16" width="42.109375" customWidth="1"/>
    <col min="17" max="17" width="26" customWidth="1"/>
    <col min="18" max="18" width="24.88671875" customWidth="1"/>
    <col min="19" max="24" width="13.5546875" customWidth="1"/>
  </cols>
  <sheetData>
    <row r="1" spans="1:18">
      <c r="A1" s="12" t="s">
        <v>0</v>
      </c>
      <c r="B1" s="12" t="s">
        <v>1425</v>
      </c>
      <c r="C1" s="12" t="s">
        <v>1426</v>
      </c>
      <c r="D1" s="12" t="s">
        <v>1427</v>
      </c>
      <c r="E1" s="12" t="s">
        <v>1428</v>
      </c>
      <c r="F1" s="12" t="s">
        <v>1429</v>
      </c>
      <c r="G1" s="12" t="s">
        <v>1430</v>
      </c>
      <c r="H1" s="12" t="s">
        <v>1431</v>
      </c>
      <c r="I1" s="12" t="s">
        <v>1432</v>
      </c>
      <c r="J1" s="12" t="s">
        <v>1433</v>
      </c>
      <c r="K1" s="12" t="s">
        <v>1434</v>
      </c>
      <c r="L1" s="12" t="s">
        <v>1435</v>
      </c>
      <c r="M1" s="12" t="s">
        <v>1436</v>
      </c>
      <c r="N1" s="12" t="s">
        <v>1437</v>
      </c>
      <c r="O1" s="12" t="s">
        <v>1438</v>
      </c>
      <c r="P1" s="12" t="s">
        <v>1439</v>
      </c>
      <c r="Q1" s="12" t="s">
        <v>1440</v>
      </c>
      <c r="R1" s="12" t="s">
        <v>1441</v>
      </c>
    </row>
    <row r="2" spans="1:18">
      <c r="A2" s="12" t="s">
        <v>78</v>
      </c>
      <c r="B2" s="12" t="s">
        <v>81</v>
      </c>
      <c r="C2" s="12" t="s">
        <v>81</v>
      </c>
      <c r="D2" s="12" t="s">
        <v>80</v>
      </c>
      <c r="E2" s="12" t="s">
        <v>81</v>
      </c>
      <c r="F2" s="17" t="s">
        <v>1442</v>
      </c>
      <c r="G2" s="12" t="s">
        <v>80</v>
      </c>
      <c r="H2" s="12" t="s">
        <v>81</v>
      </c>
      <c r="I2" s="12" t="s">
        <v>1443</v>
      </c>
      <c r="J2" s="12" t="s">
        <v>81</v>
      </c>
      <c r="K2" s="12">
        <v>91000</v>
      </c>
      <c r="L2" s="12">
        <v>15000</v>
      </c>
      <c r="M2" s="12">
        <v>18000</v>
      </c>
      <c r="N2" s="12" t="s">
        <v>81</v>
      </c>
      <c r="O2" s="12" t="s">
        <v>1444</v>
      </c>
      <c r="P2" s="17" t="s">
        <v>1444</v>
      </c>
      <c r="Q2" s="17" t="s">
        <v>682</v>
      </c>
      <c r="R2" s="17">
        <v>150</v>
      </c>
    </row>
    <row r="3" spans="1:18">
      <c r="A3" s="12" t="s">
        <v>116</v>
      </c>
      <c r="B3" s="12" t="s">
        <v>80</v>
      </c>
      <c r="C3" s="12" t="s">
        <v>81</v>
      </c>
      <c r="D3" s="12" t="s">
        <v>80</v>
      </c>
      <c r="E3" s="12" t="s">
        <v>81</v>
      </c>
      <c r="F3" s="17" t="s">
        <v>1445</v>
      </c>
      <c r="G3" s="12" t="s">
        <v>81</v>
      </c>
      <c r="H3" s="12" t="s">
        <v>80</v>
      </c>
      <c r="I3" s="12" t="s">
        <v>1397</v>
      </c>
      <c r="J3" s="12" t="s">
        <v>80</v>
      </c>
      <c r="K3" s="12">
        <v>41000</v>
      </c>
      <c r="L3" s="12">
        <v>15000</v>
      </c>
      <c r="M3" s="12">
        <v>19000</v>
      </c>
      <c r="N3" s="12" t="s">
        <v>81</v>
      </c>
      <c r="O3" s="12" t="s">
        <v>1446</v>
      </c>
      <c r="P3" s="17" t="s">
        <v>1447</v>
      </c>
      <c r="Q3" s="17" t="s">
        <v>684</v>
      </c>
      <c r="R3" s="17">
        <v>300</v>
      </c>
    </row>
    <row r="4" spans="1:18">
      <c r="A4" s="12" t="s">
        <v>151</v>
      </c>
      <c r="B4" s="12" t="s">
        <v>81</v>
      </c>
      <c r="C4" s="12" t="s">
        <v>81</v>
      </c>
      <c r="D4" s="12" t="s">
        <v>81</v>
      </c>
      <c r="E4" s="12" t="s">
        <v>81</v>
      </c>
      <c r="F4" s="17" t="s">
        <v>1448</v>
      </c>
      <c r="G4" s="12" t="s">
        <v>81</v>
      </c>
      <c r="H4" s="12" t="s">
        <v>81</v>
      </c>
      <c r="I4" s="12" t="s">
        <v>1443</v>
      </c>
      <c r="J4" s="12" t="s">
        <v>81</v>
      </c>
      <c r="K4" s="12">
        <v>96000</v>
      </c>
      <c r="L4" s="12">
        <v>70500</v>
      </c>
      <c r="M4" s="12">
        <v>73000</v>
      </c>
      <c r="N4" s="12" t="s">
        <v>81</v>
      </c>
      <c r="O4" s="12" t="s">
        <v>1444</v>
      </c>
      <c r="P4" s="17" t="s">
        <v>1446</v>
      </c>
      <c r="Q4" s="17" t="s">
        <v>684</v>
      </c>
      <c r="R4" s="17">
        <v>75</v>
      </c>
    </row>
    <row r="5" spans="1:18">
      <c r="A5" s="12" t="s">
        <v>188</v>
      </c>
      <c r="B5" s="12" t="s">
        <v>81</v>
      </c>
      <c r="C5" s="12" t="s">
        <v>81</v>
      </c>
      <c r="D5" s="12" t="s">
        <v>80</v>
      </c>
      <c r="E5" s="12" t="s">
        <v>81</v>
      </c>
      <c r="F5" s="17" t="s">
        <v>1449</v>
      </c>
      <c r="G5" s="12" t="s">
        <v>80</v>
      </c>
      <c r="H5" s="12" t="s">
        <v>80</v>
      </c>
      <c r="I5" s="12" t="s">
        <v>1450</v>
      </c>
      <c r="J5" s="12" t="s">
        <v>80</v>
      </c>
      <c r="K5" s="12">
        <v>14000</v>
      </c>
      <c r="L5" s="12">
        <v>1000</v>
      </c>
      <c r="M5" s="12">
        <v>3000</v>
      </c>
      <c r="N5" s="12" t="s">
        <v>81</v>
      </c>
      <c r="O5" s="12" t="s">
        <v>1447</v>
      </c>
      <c r="P5" s="17" t="s">
        <v>1444</v>
      </c>
      <c r="Q5" s="17" t="s">
        <v>682</v>
      </c>
      <c r="R5" s="17">
        <v>500</v>
      </c>
    </row>
    <row r="6" spans="1:18">
      <c r="A6" s="12" t="s">
        <v>217</v>
      </c>
      <c r="B6" s="12" t="s">
        <v>80</v>
      </c>
      <c r="C6" s="12" t="s">
        <v>80</v>
      </c>
      <c r="D6" s="12" t="s">
        <v>80</v>
      </c>
      <c r="E6" s="12" t="s">
        <v>81</v>
      </c>
      <c r="F6" s="17" t="s">
        <v>1451</v>
      </c>
      <c r="G6" s="12" t="s">
        <v>81</v>
      </c>
      <c r="H6" s="12" t="s">
        <v>80</v>
      </c>
      <c r="I6" s="12" t="s">
        <v>1452</v>
      </c>
      <c r="J6" s="12" t="s">
        <v>80</v>
      </c>
      <c r="K6" s="12">
        <v>39000</v>
      </c>
      <c r="L6" s="12">
        <v>17000</v>
      </c>
      <c r="M6" s="12">
        <v>36000</v>
      </c>
      <c r="N6" s="12" t="s">
        <v>81</v>
      </c>
      <c r="O6" s="12" t="s">
        <v>1446</v>
      </c>
      <c r="P6" s="17" t="s">
        <v>1444</v>
      </c>
      <c r="Q6" s="17" t="s">
        <v>682</v>
      </c>
      <c r="R6" s="17">
        <v>200</v>
      </c>
    </row>
    <row r="7" spans="1:18">
      <c r="A7" s="12" t="s">
        <v>251</v>
      </c>
      <c r="B7" s="12" t="s">
        <v>81</v>
      </c>
      <c r="C7" s="12" t="s">
        <v>81</v>
      </c>
      <c r="D7" s="12" t="s">
        <v>81</v>
      </c>
      <c r="E7" s="12" t="s">
        <v>81</v>
      </c>
      <c r="F7" s="17" t="s">
        <v>1453</v>
      </c>
      <c r="G7" s="12" t="s">
        <v>81</v>
      </c>
      <c r="H7" s="12" t="s">
        <v>81</v>
      </c>
      <c r="I7" s="12" t="s">
        <v>1443</v>
      </c>
      <c r="J7" s="12" t="s">
        <v>81</v>
      </c>
      <c r="K7" s="12">
        <v>81000</v>
      </c>
      <c r="L7" s="12">
        <v>26000</v>
      </c>
      <c r="M7" s="12">
        <v>71500</v>
      </c>
      <c r="N7" s="12" t="s">
        <v>81</v>
      </c>
      <c r="O7" s="12" t="s">
        <v>1444</v>
      </c>
      <c r="P7" s="17" t="s">
        <v>1446</v>
      </c>
      <c r="Q7" s="17" t="s">
        <v>684</v>
      </c>
      <c r="R7" s="17">
        <v>100</v>
      </c>
    </row>
    <row r="8" spans="1:18">
      <c r="A8" s="12" t="s">
        <v>280</v>
      </c>
      <c r="B8" s="12" t="s">
        <v>80</v>
      </c>
      <c r="C8" s="12" t="s">
        <v>81</v>
      </c>
      <c r="D8" s="12" t="s">
        <v>80</v>
      </c>
      <c r="E8" s="12" t="s">
        <v>80</v>
      </c>
      <c r="F8" s="17" t="s">
        <v>1454</v>
      </c>
      <c r="G8" s="12" t="s">
        <v>80</v>
      </c>
      <c r="H8" s="12" t="s">
        <v>81</v>
      </c>
      <c r="I8" s="12" t="s">
        <v>1443</v>
      </c>
      <c r="J8" s="12" t="s">
        <v>81</v>
      </c>
      <c r="K8" s="12">
        <v>38000</v>
      </c>
      <c r="L8" s="12">
        <v>15000</v>
      </c>
      <c r="M8" s="12">
        <v>33500</v>
      </c>
      <c r="N8" s="12" t="s">
        <v>81</v>
      </c>
      <c r="O8" s="12" t="s">
        <v>1446</v>
      </c>
      <c r="P8" s="17" t="s">
        <v>1446</v>
      </c>
      <c r="Q8" s="17" t="s">
        <v>684</v>
      </c>
      <c r="R8" s="17">
        <v>650</v>
      </c>
    </row>
    <row r="9" spans="1:18">
      <c r="A9" s="12" t="s">
        <v>309</v>
      </c>
      <c r="B9" s="12" t="s">
        <v>81</v>
      </c>
      <c r="C9" s="12" t="s">
        <v>81</v>
      </c>
      <c r="D9" s="12" t="s">
        <v>81</v>
      </c>
      <c r="E9" s="12" t="s">
        <v>81</v>
      </c>
      <c r="F9" s="17" t="s">
        <v>1455</v>
      </c>
      <c r="G9" s="12" t="s">
        <v>81</v>
      </c>
      <c r="H9" s="12" t="s">
        <v>80</v>
      </c>
      <c r="I9" s="12" t="s">
        <v>1450</v>
      </c>
      <c r="J9" s="12" t="s">
        <v>80</v>
      </c>
      <c r="K9" s="12">
        <v>10000</v>
      </c>
      <c r="L9" s="12">
        <v>7000</v>
      </c>
      <c r="M9" s="12">
        <v>10000</v>
      </c>
      <c r="N9" s="12" t="s">
        <v>80</v>
      </c>
      <c r="O9" s="12" t="s">
        <v>1447</v>
      </c>
      <c r="P9" s="17" t="s">
        <v>1444</v>
      </c>
      <c r="Q9" s="17" t="s">
        <v>684</v>
      </c>
      <c r="R9" s="17">
        <v>125</v>
      </c>
    </row>
    <row r="10" spans="1:18">
      <c r="A10" s="12" t="s">
        <v>339</v>
      </c>
      <c r="B10" s="12" t="s">
        <v>81</v>
      </c>
      <c r="C10" s="12" t="s">
        <v>80</v>
      </c>
      <c r="D10" s="12" t="s">
        <v>80</v>
      </c>
      <c r="E10" s="12" t="s">
        <v>81</v>
      </c>
      <c r="F10" s="17" t="s">
        <v>1456</v>
      </c>
      <c r="G10" s="12" t="s">
        <v>81</v>
      </c>
      <c r="H10" s="12" t="s">
        <v>81</v>
      </c>
      <c r="I10" s="12" t="s">
        <v>1443</v>
      </c>
      <c r="J10" s="12" t="s">
        <v>81</v>
      </c>
      <c r="K10" s="12">
        <v>99000</v>
      </c>
      <c r="L10" s="12">
        <v>55000</v>
      </c>
      <c r="M10" s="12">
        <v>76500</v>
      </c>
      <c r="N10" s="12" t="s">
        <v>81</v>
      </c>
      <c r="O10" s="12" t="s">
        <v>1444</v>
      </c>
      <c r="P10" s="17" t="s">
        <v>1447</v>
      </c>
      <c r="Q10" s="17" t="s">
        <v>682</v>
      </c>
      <c r="R10" s="17">
        <v>400</v>
      </c>
    </row>
    <row r="11" spans="1:18">
      <c r="A11" s="12" t="s">
        <v>369</v>
      </c>
      <c r="B11" s="12" t="s">
        <v>80</v>
      </c>
      <c r="C11" s="12" t="s">
        <v>81</v>
      </c>
      <c r="D11" s="12" t="s">
        <v>80</v>
      </c>
      <c r="E11" s="12" t="s">
        <v>81</v>
      </c>
      <c r="F11" s="17" t="s">
        <v>1457</v>
      </c>
      <c r="G11" s="12" t="s">
        <v>80</v>
      </c>
      <c r="H11" s="12" t="s">
        <v>80</v>
      </c>
      <c r="I11" s="12" t="s">
        <v>1397</v>
      </c>
      <c r="J11" s="12" t="s">
        <v>80</v>
      </c>
      <c r="K11" s="12">
        <v>29000</v>
      </c>
      <c r="L11" s="12">
        <v>7500</v>
      </c>
      <c r="M11" s="12">
        <v>18000</v>
      </c>
      <c r="N11" s="12" t="s">
        <v>81</v>
      </c>
      <c r="O11" s="12" t="s">
        <v>1446</v>
      </c>
      <c r="P11" s="17" t="s">
        <v>1447</v>
      </c>
      <c r="Q11" s="17" t="s">
        <v>682</v>
      </c>
      <c r="R11" s="17">
        <v>50</v>
      </c>
    </row>
    <row r="12" spans="1:18">
      <c r="A12" s="12"/>
      <c r="B12" s="12"/>
      <c r="C12" s="12"/>
      <c r="D12" s="12"/>
      <c r="E12" s="12"/>
      <c r="F12" s="17"/>
      <c r="G12" s="12"/>
      <c r="H12" s="12"/>
      <c r="I12" s="12"/>
      <c r="J12" s="12"/>
      <c r="K12" s="12"/>
      <c r="L12" s="12"/>
      <c r="M12" s="12"/>
      <c r="N12" s="12"/>
      <c r="O12" s="12"/>
      <c r="P12" s="17"/>
      <c r="Q12" s="17"/>
      <c r="R12" s="17"/>
    </row>
    <row r="13" spans="1:18">
      <c r="A13" s="12"/>
      <c r="B13" s="12"/>
      <c r="C13" s="12"/>
      <c r="D13" s="12"/>
      <c r="E13" s="12"/>
      <c r="F13" s="17"/>
      <c r="G13" s="12"/>
      <c r="H13" s="12"/>
      <c r="I13" s="12"/>
      <c r="J13" s="12"/>
      <c r="K13" s="12"/>
      <c r="L13" s="12"/>
      <c r="M13" s="12"/>
      <c r="N13" s="12"/>
      <c r="O13" s="12"/>
      <c r="P13" s="17"/>
      <c r="Q13" s="17"/>
      <c r="R13" s="17"/>
    </row>
    <row r="14" spans="1:18">
      <c r="A14" s="12"/>
      <c r="B14" s="12"/>
      <c r="C14" s="12"/>
      <c r="D14" s="12"/>
      <c r="E14" s="12"/>
      <c r="F14" s="17"/>
      <c r="G14" s="12"/>
      <c r="H14" s="12"/>
      <c r="I14" s="12"/>
      <c r="J14" s="12"/>
      <c r="K14" s="12"/>
      <c r="L14" s="12"/>
      <c r="M14" s="12"/>
      <c r="N14" s="12"/>
      <c r="O14" s="12"/>
      <c r="P14" s="17"/>
      <c r="Q14" s="17"/>
      <c r="R14" s="17"/>
    </row>
    <row r="15" spans="1:18">
      <c r="A15" s="12"/>
      <c r="B15" s="12"/>
      <c r="C15" s="12"/>
      <c r="D15" s="12"/>
      <c r="E15" s="12"/>
      <c r="F15" s="17"/>
      <c r="G15" s="12"/>
      <c r="H15" s="12"/>
      <c r="I15" s="12"/>
      <c r="J15" s="12"/>
      <c r="K15" s="12"/>
      <c r="L15" s="12"/>
      <c r="M15" s="12"/>
      <c r="N15" s="12"/>
      <c r="O15" s="12"/>
      <c r="P15" s="17"/>
      <c r="Q15" s="17"/>
      <c r="R15" s="17"/>
    </row>
    <row r="16" spans="1:18">
      <c r="A16" s="12"/>
      <c r="B16" s="12"/>
      <c r="C16" s="12"/>
      <c r="D16" s="12"/>
      <c r="E16" s="12"/>
      <c r="F16" s="17"/>
      <c r="G16" s="12"/>
      <c r="H16" s="12"/>
      <c r="I16" s="12"/>
      <c r="J16" s="12"/>
      <c r="K16" s="12"/>
      <c r="L16" s="12"/>
      <c r="M16" s="12"/>
      <c r="N16" s="12"/>
      <c r="O16" s="12"/>
      <c r="P16" s="17"/>
      <c r="Q16" s="17"/>
      <c r="R16" s="17"/>
    </row>
    <row r="17" spans="1:18">
      <c r="A17" s="12"/>
      <c r="B17" s="12"/>
      <c r="C17" s="12"/>
      <c r="D17" s="12"/>
      <c r="E17" s="12"/>
      <c r="F17" s="17"/>
      <c r="G17" s="12"/>
      <c r="H17" s="12"/>
      <c r="I17" s="12"/>
      <c r="J17" s="12"/>
      <c r="K17" s="12"/>
      <c r="L17" s="12"/>
      <c r="M17" s="12"/>
      <c r="N17" s="12"/>
      <c r="O17" s="12"/>
      <c r="P17" s="17"/>
      <c r="Q17" s="17"/>
      <c r="R17" s="17"/>
    </row>
    <row r="18" spans="1:18">
      <c r="A18" s="12"/>
      <c r="B18" s="12"/>
      <c r="C18" s="12"/>
      <c r="D18" s="12"/>
      <c r="E18" s="12"/>
      <c r="F18" s="17"/>
      <c r="G18" s="12"/>
      <c r="H18" s="12"/>
      <c r="I18" s="12"/>
      <c r="J18" s="12"/>
      <c r="K18" s="12"/>
      <c r="L18" s="12"/>
      <c r="M18" s="12"/>
      <c r="N18" s="12"/>
      <c r="O18" s="12"/>
      <c r="P18" s="17"/>
      <c r="Q18" s="17"/>
      <c r="R18" s="17"/>
    </row>
    <row r="19" spans="1:18">
      <c r="A19" s="12"/>
      <c r="B19" s="12"/>
      <c r="C19" s="12"/>
      <c r="D19" s="12"/>
      <c r="E19" s="12"/>
      <c r="F19" s="17"/>
      <c r="G19" s="12"/>
      <c r="H19" s="12"/>
      <c r="I19" s="12"/>
      <c r="J19" s="12"/>
      <c r="K19" s="12"/>
      <c r="L19" s="12"/>
      <c r="M19" s="12"/>
      <c r="N19" s="12"/>
      <c r="O19" s="12"/>
      <c r="P19" s="17"/>
      <c r="Q19" s="17"/>
      <c r="R19" s="17"/>
    </row>
    <row r="20" spans="1:18">
      <c r="A20" s="12"/>
      <c r="B20" s="12"/>
      <c r="C20" s="12"/>
      <c r="D20" s="12"/>
      <c r="E20" s="12"/>
      <c r="F20" s="17"/>
      <c r="G20" s="12"/>
      <c r="H20" s="12"/>
      <c r="I20" s="12"/>
      <c r="J20" s="12"/>
      <c r="K20" s="12"/>
      <c r="L20" s="12"/>
      <c r="M20" s="12"/>
      <c r="N20" s="12"/>
      <c r="O20" s="12"/>
      <c r="P20" s="17"/>
      <c r="Q20" s="17"/>
      <c r="R20" s="17"/>
    </row>
    <row r="21" spans="1:18">
      <c r="A21" s="12"/>
      <c r="B21" s="12"/>
      <c r="C21" s="12"/>
      <c r="D21" s="12"/>
      <c r="E21" s="12"/>
      <c r="F21" s="17"/>
      <c r="G21" s="12"/>
      <c r="H21" s="12"/>
      <c r="I21" s="12"/>
      <c r="J21" s="12"/>
      <c r="K21" s="12"/>
      <c r="L21" s="12"/>
      <c r="M21" s="12"/>
      <c r="N21" s="12"/>
      <c r="O21" s="12"/>
      <c r="P21" s="17"/>
      <c r="Q21" s="17"/>
      <c r="R21" s="17"/>
    </row>
    <row r="22" spans="1:18">
      <c r="A22" s="12"/>
      <c r="B22" s="12"/>
      <c r="C22" s="12"/>
      <c r="D22" s="12"/>
      <c r="E22" s="12"/>
      <c r="F22" s="17"/>
      <c r="G22" s="12"/>
      <c r="H22" s="12"/>
      <c r="I22" s="12"/>
      <c r="J22" s="12"/>
      <c r="K22" s="12"/>
      <c r="L22" s="12"/>
      <c r="M22" s="12"/>
      <c r="N22" s="12"/>
      <c r="O22" s="12"/>
      <c r="P22" s="17"/>
      <c r="Q22" s="17"/>
      <c r="R22" s="17"/>
    </row>
    <row r="23" spans="1:18">
      <c r="A23" s="12"/>
      <c r="B23" s="12"/>
      <c r="C23" s="12"/>
      <c r="D23" s="12"/>
      <c r="E23" s="12"/>
      <c r="F23" s="17"/>
      <c r="G23" s="12"/>
      <c r="H23" s="12"/>
      <c r="I23" s="12"/>
      <c r="J23" s="12"/>
      <c r="K23" s="12"/>
      <c r="L23" s="12"/>
      <c r="M23" s="12"/>
      <c r="N23" s="12"/>
      <c r="O23" s="12"/>
      <c r="P23" s="17"/>
      <c r="Q23" s="17"/>
      <c r="R23" s="17"/>
    </row>
    <row r="24" spans="1:18">
      <c r="A24" s="12"/>
      <c r="B24" s="12"/>
      <c r="C24" s="12"/>
      <c r="D24" s="12"/>
      <c r="E24" s="12"/>
      <c r="F24" s="17"/>
      <c r="G24" s="12"/>
      <c r="H24" s="12"/>
      <c r="I24" s="12"/>
      <c r="J24" s="12"/>
      <c r="K24" s="12"/>
      <c r="L24" s="12"/>
      <c r="M24" s="12"/>
      <c r="N24" s="12"/>
      <c r="O24" s="12"/>
      <c r="P24" s="17"/>
      <c r="Q24" s="17"/>
      <c r="R24" s="17"/>
    </row>
    <row r="25" spans="1:18">
      <c r="A25" s="12"/>
      <c r="B25" s="12"/>
      <c r="C25" s="12"/>
      <c r="D25" s="12"/>
      <c r="E25" s="12"/>
      <c r="F25" s="17"/>
      <c r="G25" s="12"/>
      <c r="H25" s="12"/>
      <c r="I25" s="12"/>
      <c r="J25" s="12"/>
      <c r="K25" s="12"/>
      <c r="L25" s="12"/>
      <c r="M25" s="12"/>
      <c r="N25" s="12"/>
      <c r="O25" s="12"/>
      <c r="P25" s="17"/>
      <c r="Q25" s="17"/>
      <c r="R25" s="17"/>
    </row>
    <row r="26" spans="1:18">
      <c r="A26" s="12"/>
      <c r="B26" s="12"/>
      <c r="C26" s="12"/>
      <c r="D26" s="12"/>
      <c r="E26" s="12"/>
      <c r="F26" s="17"/>
      <c r="G26" s="12"/>
      <c r="H26" s="12"/>
      <c r="I26" s="12"/>
      <c r="J26" s="12"/>
      <c r="K26" s="12"/>
      <c r="L26" s="12"/>
      <c r="M26" s="12"/>
      <c r="N26" s="12"/>
      <c r="O26" s="12"/>
      <c r="P26" s="17"/>
      <c r="Q26" s="17"/>
      <c r="R26" s="17"/>
    </row>
    <row r="27" spans="1:18">
      <c r="A27" s="12"/>
      <c r="B27" s="12"/>
      <c r="C27" s="12"/>
      <c r="D27" s="12"/>
      <c r="E27" s="12"/>
      <c r="F27" s="17"/>
      <c r="G27" s="12"/>
      <c r="H27" s="12"/>
      <c r="I27" s="12"/>
      <c r="J27" s="12"/>
      <c r="K27" s="12"/>
      <c r="L27" s="12"/>
      <c r="M27" s="12"/>
      <c r="N27" s="12"/>
      <c r="O27" s="12"/>
      <c r="P27" s="17"/>
      <c r="Q27" s="17"/>
      <c r="R27" s="17"/>
    </row>
    <row r="28" spans="1:18">
      <c r="A28" s="12"/>
      <c r="B28" s="12"/>
      <c r="C28" s="12"/>
      <c r="D28" s="12"/>
      <c r="E28" s="12"/>
      <c r="F28" s="17"/>
      <c r="G28" s="12"/>
      <c r="H28" s="12"/>
      <c r="I28" s="12"/>
      <c r="J28" s="12"/>
      <c r="K28" s="12"/>
      <c r="L28" s="12"/>
      <c r="M28" s="12"/>
      <c r="N28" s="12"/>
      <c r="O28" s="12"/>
      <c r="P28" s="17"/>
      <c r="Q28" s="17"/>
      <c r="R28" s="17"/>
    </row>
    <row r="29" spans="1:18">
      <c r="A29" s="12"/>
      <c r="B29" s="12"/>
      <c r="C29" s="12"/>
      <c r="D29" s="12"/>
      <c r="E29" s="12"/>
      <c r="F29" s="17"/>
      <c r="G29" s="12"/>
      <c r="H29" s="12"/>
      <c r="I29" s="12"/>
      <c r="J29" s="12"/>
      <c r="K29" s="12"/>
      <c r="L29" s="12"/>
      <c r="M29" s="12"/>
      <c r="N29" s="12"/>
      <c r="O29" s="12"/>
      <c r="P29" s="17"/>
      <c r="Q29" s="17"/>
      <c r="R29" s="17"/>
    </row>
    <row r="30" spans="1:18">
      <c r="A30" s="12"/>
      <c r="B30" s="12"/>
      <c r="C30" s="12"/>
      <c r="D30" s="12"/>
      <c r="E30" s="12"/>
      <c r="F30" s="17"/>
      <c r="G30" s="12"/>
      <c r="H30" s="12"/>
      <c r="I30" s="12"/>
      <c r="J30" s="12"/>
      <c r="K30" s="12"/>
      <c r="L30" s="12"/>
      <c r="M30" s="12"/>
      <c r="N30" s="12"/>
      <c r="O30" s="12"/>
      <c r="P30" s="17"/>
      <c r="Q30" s="17"/>
      <c r="R30" s="17"/>
    </row>
    <row r="31" spans="1:18">
      <c r="A31" s="12"/>
      <c r="B31" s="12"/>
      <c r="C31" s="12"/>
      <c r="D31" s="12"/>
      <c r="E31" s="12"/>
      <c r="F31" s="17"/>
      <c r="G31" s="12"/>
      <c r="H31" s="12"/>
      <c r="I31" s="12"/>
      <c r="J31" s="12"/>
      <c r="K31" s="12"/>
      <c r="L31" s="12"/>
      <c r="M31" s="12"/>
      <c r="N31" s="12"/>
      <c r="O31" s="12"/>
      <c r="P31" s="17"/>
      <c r="Q31" s="17"/>
      <c r="R31" s="17"/>
    </row>
    <row r="32" spans="1:18">
      <c r="A32" s="12"/>
      <c r="B32" s="12"/>
      <c r="C32" s="12"/>
      <c r="D32" s="12"/>
      <c r="E32" s="12"/>
      <c r="F32" s="17"/>
      <c r="G32" s="12"/>
      <c r="H32" s="12"/>
      <c r="I32" s="12"/>
      <c r="J32" s="12"/>
      <c r="K32" s="12"/>
      <c r="L32" s="12"/>
      <c r="M32" s="12"/>
      <c r="N32" s="12"/>
      <c r="O32" s="12"/>
      <c r="P32" s="17"/>
      <c r="Q32" s="17"/>
      <c r="R32" s="17"/>
    </row>
    <row r="33" spans="1:18">
      <c r="A33" s="12"/>
      <c r="B33" s="12"/>
      <c r="C33" s="12"/>
      <c r="D33" s="12"/>
      <c r="E33" s="12"/>
      <c r="F33" s="17"/>
      <c r="G33" s="12"/>
      <c r="H33" s="12"/>
      <c r="I33" s="12"/>
      <c r="J33" s="12"/>
      <c r="K33" s="12"/>
      <c r="L33" s="12"/>
      <c r="M33" s="12"/>
      <c r="N33" s="12"/>
      <c r="O33" s="12"/>
      <c r="P33" s="17"/>
      <c r="Q33" s="17"/>
      <c r="R33" s="17"/>
    </row>
    <row r="34" spans="1:18">
      <c r="A34" s="12"/>
      <c r="B34" s="12"/>
      <c r="C34" s="12"/>
      <c r="D34" s="12"/>
      <c r="E34" s="12"/>
      <c r="F34" s="17"/>
      <c r="G34" s="12"/>
      <c r="H34" s="12"/>
      <c r="I34" s="12"/>
      <c r="J34" s="12"/>
      <c r="K34" s="12"/>
      <c r="L34" s="12"/>
      <c r="M34" s="12"/>
      <c r="N34" s="12"/>
      <c r="O34" s="12"/>
      <c r="P34" s="17"/>
      <c r="Q34" s="17"/>
      <c r="R34" s="17"/>
    </row>
    <row r="35" spans="1:18">
      <c r="A35" s="12"/>
      <c r="B35" s="12"/>
      <c r="C35" s="12"/>
      <c r="D35" s="12"/>
      <c r="E35" s="12"/>
      <c r="F35" s="17"/>
      <c r="G35" s="12"/>
      <c r="H35" s="12"/>
      <c r="I35" s="12"/>
      <c r="J35" s="12"/>
      <c r="K35" s="12"/>
      <c r="L35" s="12"/>
      <c r="M35" s="12"/>
      <c r="N35" s="12"/>
      <c r="O35" s="12"/>
      <c r="P35" s="17"/>
      <c r="Q35" s="17"/>
      <c r="R35" s="17"/>
    </row>
    <row r="36" spans="1:18">
      <c r="A36" s="12"/>
      <c r="B36" s="12"/>
      <c r="C36" s="12"/>
      <c r="D36" s="12"/>
      <c r="E36" s="12"/>
      <c r="F36" s="17"/>
      <c r="G36" s="12"/>
      <c r="H36" s="12"/>
      <c r="I36" s="12"/>
      <c r="J36" s="12"/>
      <c r="K36" s="12"/>
      <c r="L36" s="12"/>
      <c r="M36" s="12"/>
      <c r="N36" s="12"/>
      <c r="O36" s="12"/>
      <c r="P36" s="17"/>
      <c r="Q36" s="17"/>
      <c r="R36" s="17"/>
    </row>
    <row r="37" spans="1:18">
      <c r="A37" s="12"/>
      <c r="B37" s="12"/>
      <c r="C37" s="12"/>
      <c r="D37" s="12"/>
      <c r="E37" s="12"/>
      <c r="F37" s="17"/>
      <c r="G37" s="12"/>
      <c r="H37" s="12"/>
      <c r="I37" s="12"/>
      <c r="J37" s="12"/>
      <c r="K37" s="12"/>
      <c r="L37" s="12"/>
      <c r="M37" s="12"/>
      <c r="N37" s="12"/>
      <c r="O37" s="12"/>
      <c r="P37" s="17"/>
      <c r="Q37" s="17"/>
      <c r="R37" s="17"/>
    </row>
    <row r="38" spans="1:18">
      <c r="A38" s="12"/>
      <c r="B38" s="12"/>
      <c r="C38" s="12"/>
      <c r="D38" s="12"/>
      <c r="E38" s="12"/>
      <c r="F38" s="17"/>
      <c r="G38" s="12"/>
      <c r="H38" s="12"/>
      <c r="I38" s="12"/>
      <c r="J38" s="12"/>
      <c r="K38" s="12"/>
      <c r="L38" s="12"/>
      <c r="M38" s="12"/>
      <c r="N38" s="12"/>
      <c r="O38" s="12"/>
      <c r="P38" s="17"/>
      <c r="Q38" s="17"/>
      <c r="R38" s="17"/>
    </row>
    <row r="39" spans="1:18">
      <c r="A39" s="12"/>
      <c r="B39" s="12"/>
      <c r="C39" s="12"/>
      <c r="D39" s="12"/>
      <c r="E39" s="12"/>
      <c r="F39" s="17"/>
      <c r="G39" s="12"/>
      <c r="H39" s="12"/>
      <c r="I39" s="12"/>
      <c r="J39" s="12"/>
      <c r="K39" s="12"/>
      <c r="L39" s="12"/>
      <c r="M39" s="12"/>
      <c r="N39" s="12"/>
      <c r="O39" s="12"/>
      <c r="P39" s="17"/>
      <c r="Q39" s="17"/>
      <c r="R39" s="17"/>
    </row>
    <row r="40" spans="1:18">
      <c r="A40" s="12"/>
      <c r="B40" s="12"/>
      <c r="C40" s="12"/>
      <c r="D40" s="12"/>
      <c r="E40" s="12"/>
      <c r="F40" s="17"/>
      <c r="G40" s="12"/>
      <c r="H40" s="12"/>
      <c r="I40" s="12"/>
      <c r="J40" s="12"/>
      <c r="K40" s="12"/>
      <c r="L40" s="12"/>
      <c r="M40" s="12"/>
      <c r="N40" s="12"/>
      <c r="O40" s="12"/>
      <c r="P40" s="17"/>
      <c r="Q40" s="17"/>
      <c r="R40" s="17"/>
    </row>
    <row r="41" spans="1:18">
      <c r="A41" s="12"/>
      <c r="B41" s="12"/>
      <c r="C41" s="12"/>
      <c r="D41" s="12"/>
      <c r="E41" s="12"/>
      <c r="F41" s="17"/>
      <c r="G41" s="12"/>
      <c r="H41" s="12"/>
      <c r="I41" s="12"/>
      <c r="J41" s="12"/>
      <c r="K41" s="12"/>
      <c r="L41" s="12"/>
      <c r="M41" s="12"/>
      <c r="N41" s="12"/>
      <c r="O41" s="12"/>
      <c r="P41" s="17"/>
      <c r="Q41" s="17"/>
      <c r="R41" s="17"/>
    </row>
    <row r="42" spans="1:18">
      <c r="A42" s="12"/>
      <c r="B42" s="12"/>
      <c r="C42" s="12"/>
      <c r="D42" s="12"/>
      <c r="E42" s="12"/>
      <c r="F42" s="17"/>
      <c r="G42" s="12"/>
      <c r="H42" s="12"/>
      <c r="I42" s="12"/>
      <c r="J42" s="12"/>
      <c r="K42" s="12"/>
      <c r="L42" s="12"/>
      <c r="M42" s="12"/>
      <c r="N42" s="12"/>
      <c r="O42" s="12"/>
      <c r="P42" s="17"/>
      <c r="Q42" s="17"/>
      <c r="R42" s="17"/>
    </row>
    <row r="43" spans="1:18">
      <c r="A43" s="12"/>
      <c r="B43" s="12"/>
      <c r="C43" s="12"/>
      <c r="D43" s="12"/>
      <c r="E43" s="12"/>
      <c r="F43" s="17"/>
      <c r="G43" s="12"/>
      <c r="H43" s="12"/>
      <c r="I43" s="12"/>
      <c r="J43" s="12"/>
      <c r="K43" s="12"/>
      <c r="L43" s="12"/>
      <c r="M43" s="12"/>
      <c r="N43" s="12"/>
      <c r="O43" s="12"/>
      <c r="P43" s="17"/>
      <c r="Q43" s="17"/>
      <c r="R43" s="17"/>
    </row>
    <row r="44" spans="1:18">
      <c r="A44" s="12"/>
      <c r="B44" s="12"/>
      <c r="C44" s="12"/>
      <c r="D44" s="12"/>
      <c r="E44" s="12"/>
      <c r="F44" s="17"/>
      <c r="G44" s="12"/>
      <c r="H44" s="12"/>
      <c r="I44" s="12"/>
      <c r="J44" s="12"/>
      <c r="K44" s="12"/>
      <c r="L44" s="12"/>
      <c r="M44" s="12"/>
      <c r="N44" s="12"/>
      <c r="O44" s="12"/>
      <c r="P44" s="17"/>
      <c r="Q44" s="17"/>
      <c r="R44" s="17"/>
    </row>
    <row r="45" spans="1:18">
      <c r="A45" s="12"/>
      <c r="B45" s="12"/>
      <c r="C45" s="12"/>
      <c r="D45" s="12"/>
      <c r="E45" s="12"/>
      <c r="F45" s="17"/>
      <c r="G45" s="12"/>
      <c r="H45" s="12"/>
      <c r="I45" s="12"/>
      <c r="J45" s="12"/>
      <c r="K45" s="12"/>
      <c r="L45" s="12"/>
      <c r="M45" s="12"/>
      <c r="N45" s="12"/>
      <c r="O45" s="12"/>
      <c r="P45" s="17"/>
      <c r="Q45" s="17"/>
      <c r="R45" s="17"/>
    </row>
    <row r="46" spans="1:18">
      <c r="A46" s="12"/>
      <c r="B46" s="12"/>
      <c r="C46" s="12"/>
      <c r="D46" s="12"/>
      <c r="E46" s="12"/>
      <c r="F46" s="17"/>
      <c r="G46" s="12"/>
      <c r="H46" s="12"/>
      <c r="I46" s="12"/>
      <c r="J46" s="12"/>
      <c r="K46" s="12"/>
      <c r="L46" s="12"/>
      <c r="M46" s="12"/>
      <c r="N46" s="12"/>
      <c r="O46" s="12"/>
      <c r="P46" s="17"/>
      <c r="Q46" s="17"/>
      <c r="R46" s="17"/>
    </row>
    <row r="47" spans="1:18">
      <c r="A47" s="12"/>
      <c r="B47" s="12"/>
      <c r="C47" s="12"/>
      <c r="D47" s="12"/>
      <c r="E47" s="12"/>
      <c r="F47" s="17"/>
      <c r="G47" s="12"/>
      <c r="H47" s="12"/>
      <c r="I47" s="12"/>
      <c r="J47" s="12"/>
      <c r="K47" s="12"/>
      <c r="L47" s="12"/>
      <c r="M47" s="12"/>
      <c r="N47" s="12"/>
      <c r="O47" s="12"/>
      <c r="P47" s="17"/>
      <c r="Q47" s="17"/>
      <c r="R47" s="17"/>
    </row>
    <row r="48" spans="1:18">
      <c r="A48" s="12"/>
      <c r="B48" s="12"/>
      <c r="C48" s="12"/>
      <c r="D48" s="12"/>
      <c r="E48" s="12"/>
      <c r="F48" s="17"/>
      <c r="G48" s="12"/>
      <c r="H48" s="12"/>
      <c r="I48" s="12"/>
      <c r="J48" s="12"/>
      <c r="K48" s="12"/>
      <c r="L48" s="12"/>
      <c r="M48" s="12"/>
      <c r="N48" s="12"/>
      <c r="O48" s="12"/>
      <c r="P48" s="17"/>
      <c r="Q48" s="17"/>
      <c r="R48" s="17"/>
    </row>
    <row r="49" spans="1:18">
      <c r="A49" s="12"/>
      <c r="B49" s="12"/>
      <c r="C49" s="12"/>
      <c r="D49" s="12"/>
      <c r="E49" s="12"/>
      <c r="F49" s="17"/>
      <c r="G49" s="12"/>
      <c r="H49" s="12"/>
      <c r="I49" s="12"/>
      <c r="J49" s="12"/>
      <c r="K49" s="12"/>
      <c r="L49" s="12"/>
      <c r="M49" s="12"/>
      <c r="N49" s="12"/>
      <c r="O49" s="12"/>
      <c r="P49" s="17"/>
      <c r="Q49" s="17"/>
      <c r="R49" s="17"/>
    </row>
    <row r="50" spans="1:18">
      <c r="A50" s="12"/>
      <c r="B50" s="12"/>
      <c r="C50" s="12"/>
      <c r="D50" s="12"/>
      <c r="E50" s="12"/>
      <c r="F50" s="17"/>
      <c r="G50" s="12"/>
      <c r="H50" s="12"/>
      <c r="I50" s="12"/>
      <c r="J50" s="12"/>
      <c r="K50" s="12"/>
      <c r="L50" s="12"/>
      <c r="M50" s="12"/>
      <c r="N50" s="12"/>
      <c r="O50" s="12"/>
      <c r="P50" s="17"/>
      <c r="Q50" s="17"/>
      <c r="R50" s="17"/>
    </row>
    <row r="51" spans="1:18">
      <c r="A51" s="12"/>
      <c r="B51" s="12"/>
      <c r="C51" s="12"/>
      <c r="D51" s="12"/>
      <c r="E51" s="12"/>
      <c r="F51" s="17"/>
      <c r="G51" s="12"/>
      <c r="H51" s="12"/>
      <c r="I51" s="12"/>
      <c r="J51" s="12"/>
      <c r="K51" s="12"/>
      <c r="L51" s="12"/>
      <c r="M51" s="12"/>
      <c r="N51" s="12"/>
      <c r="O51" s="12"/>
      <c r="P51" s="17"/>
      <c r="Q51" s="17"/>
      <c r="R51" s="17"/>
    </row>
  </sheetData>
  <autoFilter ref="A1:Q51" xr:uid="{00000000-0009-0000-0000-000010000000}"/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59"/>
  <sheetViews>
    <sheetView workbookViewId="0">
      <selection activeCell="A3" sqref="A3:XFD11"/>
    </sheetView>
  </sheetViews>
  <sheetFormatPr defaultRowHeight="14.4"/>
  <cols>
    <col min="1" max="1" width="9.33203125" customWidth="1"/>
    <col min="2" max="2" width="33" customWidth="1"/>
    <col min="3" max="7" width="42" customWidth="1"/>
    <col min="8" max="8" width="11" customWidth="1"/>
    <col min="9" max="9" width="29" customWidth="1"/>
    <col min="10" max="10" width="28" customWidth="1"/>
    <col min="11" max="11" width="42.109375" customWidth="1"/>
    <col min="12" max="12" width="17" customWidth="1"/>
    <col min="13" max="13" width="24" customWidth="1"/>
    <col min="14" max="15" width="9.33203125" customWidth="1"/>
    <col min="16" max="24" width="13.5546875" customWidth="1"/>
  </cols>
  <sheetData>
    <row r="1" spans="1:14" ht="11.4" customHeight="1">
      <c r="A1" s="12" t="s">
        <v>0</v>
      </c>
      <c r="B1" s="12" t="s">
        <v>817</v>
      </c>
      <c r="C1" s="12" t="s">
        <v>1458</v>
      </c>
      <c r="D1" s="52" t="s">
        <v>1459</v>
      </c>
      <c r="E1" s="52" t="s">
        <v>826</v>
      </c>
      <c r="F1" s="52" t="s">
        <v>1460</v>
      </c>
      <c r="G1" s="12" t="s">
        <v>1461</v>
      </c>
      <c r="H1" s="12" t="s">
        <v>1462</v>
      </c>
      <c r="I1" s="12" t="s">
        <v>1463</v>
      </c>
      <c r="J1" s="12" t="s">
        <v>820</v>
      </c>
      <c r="K1" s="12" t="s">
        <v>1464</v>
      </c>
      <c r="L1" s="12" t="s">
        <v>1465</v>
      </c>
      <c r="M1" s="12" t="s">
        <v>1466</v>
      </c>
      <c r="N1" s="12" t="s">
        <v>409</v>
      </c>
    </row>
    <row r="2" spans="1:14" ht="11.4" customHeight="1">
      <c r="A2" s="17" t="s">
        <v>78</v>
      </c>
      <c r="B2" s="17" t="s">
        <v>80</v>
      </c>
      <c r="C2" s="17" t="s">
        <v>81</v>
      </c>
      <c r="D2" s="17" t="s">
        <v>80</v>
      </c>
      <c r="E2" s="17" t="s">
        <v>1467</v>
      </c>
      <c r="F2" s="17" t="s">
        <v>1468</v>
      </c>
      <c r="G2" s="12">
        <v>1</v>
      </c>
      <c r="H2" s="12">
        <v>2025</v>
      </c>
      <c r="I2" s="12" t="s">
        <v>1005</v>
      </c>
      <c r="J2" s="12" t="s">
        <v>848</v>
      </c>
      <c r="K2" s="17"/>
      <c r="L2" s="12" t="s">
        <v>1469</v>
      </c>
      <c r="M2" s="12" t="s">
        <v>1443</v>
      </c>
      <c r="N2" s="17" t="s">
        <v>1470</v>
      </c>
    </row>
    <row r="3" spans="1:14" ht="11.4" customHeight="1">
      <c r="A3" s="17" t="s">
        <v>116</v>
      </c>
      <c r="B3" s="17" t="s">
        <v>81</v>
      </c>
      <c r="C3" s="17"/>
      <c r="D3" s="17"/>
      <c r="E3" s="17"/>
      <c r="F3" s="17"/>
      <c r="G3" s="12"/>
      <c r="H3" s="12"/>
      <c r="I3" s="12"/>
      <c r="J3" s="12"/>
      <c r="K3" s="17"/>
      <c r="L3" s="12"/>
      <c r="M3" s="12"/>
      <c r="N3" s="17"/>
    </row>
    <row r="4" spans="1:14" ht="11.4" customHeight="1">
      <c r="A4" s="17" t="s">
        <v>151</v>
      </c>
      <c r="B4" s="17" t="s">
        <v>80</v>
      </c>
      <c r="C4" s="17" t="s">
        <v>80</v>
      </c>
      <c r="D4" s="17" t="s">
        <v>80</v>
      </c>
      <c r="E4" s="17" t="s">
        <v>1467</v>
      </c>
      <c r="F4" s="17" t="s">
        <v>1468</v>
      </c>
      <c r="G4" s="12">
        <v>1</v>
      </c>
      <c r="H4" s="12">
        <v>2023</v>
      </c>
      <c r="I4" s="12" t="s">
        <v>1061</v>
      </c>
      <c r="J4" s="12" t="s">
        <v>848</v>
      </c>
      <c r="K4" s="17"/>
      <c r="L4" s="12" t="s">
        <v>1492</v>
      </c>
      <c r="M4" s="12" t="s">
        <v>1493</v>
      </c>
      <c r="N4" s="17" t="s">
        <v>1484</v>
      </c>
    </row>
    <row r="5" spans="1:14" ht="11.4" customHeight="1">
      <c r="A5" s="17" t="s">
        <v>151</v>
      </c>
      <c r="B5" s="17" t="s">
        <v>80</v>
      </c>
      <c r="C5" s="17" t="s">
        <v>81</v>
      </c>
      <c r="D5" s="17" t="s">
        <v>81</v>
      </c>
      <c r="E5" s="17"/>
      <c r="F5" s="17" t="s">
        <v>1471</v>
      </c>
      <c r="G5" s="12">
        <v>2</v>
      </c>
      <c r="H5" s="17">
        <v>2024</v>
      </c>
      <c r="I5" s="17" t="s">
        <v>1072</v>
      </c>
      <c r="J5" s="17" t="s">
        <v>1482</v>
      </c>
      <c r="K5" s="17"/>
      <c r="L5" s="17" t="s">
        <v>1405</v>
      </c>
      <c r="M5" s="17" t="s">
        <v>1443</v>
      </c>
      <c r="N5" s="17" t="s">
        <v>1486</v>
      </c>
    </row>
    <row r="6" spans="1:14" ht="11.4" customHeight="1">
      <c r="A6" s="17" t="s">
        <v>151</v>
      </c>
      <c r="B6" s="17" t="s">
        <v>80</v>
      </c>
      <c r="C6" s="17" t="s">
        <v>81</v>
      </c>
      <c r="D6" s="17" t="s">
        <v>81</v>
      </c>
      <c r="E6" s="12"/>
      <c r="F6" s="17" t="s">
        <v>1472</v>
      </c>
      <c r="G6" s="12">
        <v>3</v>
      </c>
      <c r="H6" s="17">
        <v>2025</v>
      </c>
      <c r="I6" s="17" t="s">
        <v>1079</v>
      </c>
      <c r="J6" s="17" t="s">
        <v>1482</v>
      </c>
      <c r="K6" s="12"/>
      <c r="L6" s="17" t="s">
        <v>1494</v>
      </c>
      <c r="M6" s="17" t="s">
        <v>1443</v>
      </c>
      <c r="N6" s="17" t="s">
        <v>1488</v>
      </c>
    </row>
    <row r="7" spans="1:14" ht="11.4" customHeight="1">
      <c r="A7" s="17" t="s">
        <v>151</v>
      </c>
      <c r="B7" s="17" t="s">
        <v>80</v>
      </c>
      <c r="C7" s="17" t="s">
        <v>80</v>
      </c>
      <c r="D7" s="17" t="s">
        <v>80</v>
      </c>
      <c r="E7" s="17" t="s">
        <v>1476</v>
      </c>
      <c r="F7" s="17" t="s">
        <v>1477</v>
      </c>
      <c r="G7" s="12">
        <v>4</v>
      </c>
      <c r="H7" s="12">
        <v>2024</v>
      </c>
      <c r="I7" s="12" t="s">
        <v>1487</v>
      </c>
      <c r="J7" s="12" t="s">
        <v>273</v>
      </c>
      <c r="K7" s="17" t="s">
        <v>1474</v>
      </c>
      <c r="L7" s="12" t="s">
        <v>1495</v>
      </c>
      <c r="M7" s="12" t="s">
        <v>1496</v>
      </c>
      <c r="N7" s="17" t="s">
        <v>1497</v>
      </c>
    </row>
    <row r="8" spans="1:14" ht="11.4" customHeight="1">
      <c r="A8" s="17" t="s">
        <v>151</v>
      </c>
      <c r="B8" s="17" t="s">
        <v>80</v>
      </c>
      <c r="C8" s="17" t="s">
        <v>81</v>
      </c>
      <c r="D8" s="17" t="s">
        <v>81</v>
      </c>
      <c r="E8" s="17"/>
      <c r="F8" s="17" t="s">
        <v>1479</v>
      </c>
      <c r="G8" s="12">
        <v>5</v>
      </c>
      <c r="H8" s="12">
        <v>2023</v>
      </c>
      <c r="I8" s="12" t="s">
        <v>1361</v>
      </c>
      <c r="J8" s="12" t="s">
        <v>273</v>
      </c>
      <c r="K8" s="17" t="s">
        <v>1474</v>
      </c>
      <c r="L8" s="12" t="s">
        <v>1498</v>
      </c>
      <c r="M8" s="12" t="s">
        <v>1499</v>
      </c>
      <c r="N8" s="17" t="s">
        <v>1500</v>
      </c>
    </row>
    <row r="9" spans="1:14" ht="11.4" customHeight="1">
      <c r="A9" s="17" t="s">
        <v>188</v>
      </c>
      <c r="B9" s="17" t="s">
        <v>80</v>
      </c>
      <c r="C9" s="17" t="s">
        <v>81</v>
      </c>
      <c r="D9" s="17" t="s">
        <v>81</v>
      </c>
      <c r="E9" s="17"/>
      <c r="F9" s="17" t="s">
        <v>1480</v>
      </c>
      <c r="G9" s="12">
        <v>1</v>
      </c>
      <c r="H9" s="12">
        <v>2025</v>
      </c>
      <c r="I9" s="12" t="s">
        <v>1501</v>
      </c>
      <c r="J9" s="12" t="s">
        <v>1485</v>
      </c>
      <c r="K9" s="17"/>
      <c r="L9" s="12" t="s">
        <v>1502</v>
      </c>
      <c r="M9" s="12" t="s">
        <v>1443</v>
      </c>
      <c r="N9" s="17" t="s">
        <v>1503</v>
      </c>
    </row>
    <row r="10" spans="1:14" ht="11.4" customHeight="1">
      <c r="A10" s="17" t="s">
        <v>217</v>
      </c>
      <c r="B10" s="17" t="s">
        <v>80</v>
      </c>
      <c r="C10" s="17" t="s">
        <v>80</v>
      </c>
      <c r="D10" s="17" t="s">
        <v>80</v>
      </c>
      <c r="E10" s="17" t="s">
        <v>1467</v>
      </c>
      <c r="F10" s="17" t="s">
        <v>1468</v>
      </c>
      <c r="G10" s="12">
        <v>1</v>
      </c>
      <c r="H10" s="12">
        <v>2025</v>
      </c>
      <c r="I10" s="12" t="s">
        <v>1489</v>
      </c>
      <c r="J10" s="12" t="s">
        <v>848</v>
      </c>
      <c r="K10" s="17"/>
      <c r="L10" s="12" t="s">
        <v>1490</v>
      </c>
      <c r="M10" s="12" t="s">
        <v>1447</v>
      </c>
      <c r="N10" s="17" t="s">
        <v>1491</v>
      </c>
    </row>
    <row r="11" spans="1:14" ht="11.4" customHeight="1">
      <c r="A11" s="17" t="s">
        <v>217</v>
      </c>
      <c r="B11" s="17" t="s">
        <v>80</v>
      </c>
      <c r="C11" s="17" t="s">
        <v>81</v>
      </c>
      <c r="D11" s="17" t="s">
        <v>81</v>
      </c>
      <c r="E11" s="17"/>
      <c r="F11" s="17" t="s">
        <v>1471</v>
      </c>
      <c r="G11" s="12">
        <v>2</v>
      </c>
      <c r="H11" s="12">
        <v>2025</v>
      </c>
      <c r="I11" s="12" t="s">
        <v>1473</v>
      </c>
      <c r="J11" s="12" t="s">
        <v>273</v>
      </c>
      <c r="K11" s="17" t="s">
        <v>1474</v>
      </c>
      <c r="L11" s="12" t="s">
        <v>1475</v>
      </c>
      <c r="M11" s="12" t="s">
        <v>1443</v>
      </c>
      <c r="N11" s="17" t="s">
        <v>1470</v>
      </c>
    </row>
    <row r="12" spans="1:14" ht="11.4" customHeight="1">
      <c r="A12" s="17" t="s">
        <v>217</v>
      </c>
      <c r="B12" s="17" t="s">
        <v>80</v>
      </c>
      <c r="C12" s="17" t="s">
        <v>81</v>
      </c>
      <c r="D12" s="17" t="s">
        <v>81</v>
      </c>
      <c r="E12" s="17"/>
      <c r="F12" s="17" t="s">
        <v>1472</v>
      </c>
      <c r="G12" s="12">
        <v>3</v>
      </c>
      <c r="H12" s="12">
        <v>2025</v>
      </c>
      <c r="I12" s="12" t="s">
        <v>1489</v>
      </c>
      <c r="J12" s="12" t="s">
        <v>848</v>
      </c>
      <c r="K12" s="17"/>
      <c r="L12" s="12" t="s">
        <v>1502</v>
      </c>
      <c r="M12" s="12" t="s">
        <v>1499</v>
      </c>
      <c r="N12" s="17"/>
    </row>
    <row r="13" spans="1:14" ht="11.4" customHeight="1">
      <c r="A13" s="17" t="s">
        <v>217</v>
      </c>
      <c r="B13" s="17" t="s">
        <v>80</v>
      </c>
      <c r="C13" s="17" t="s">
        <v>80</v>
      </c>
      <c r="D13" s="17" t="s">
        <v>80</v>
      </c>
      <c r="E13" s="17" t="s">
        <v>1476</v>
      </c>
      <c r="F13" s="17" t="s">
        <v>1477</v>
      </c>
      <c r="G13" s="12">
        <v>4</v>
      </c>
      <c r="H13" s="17">
        <v>2024</v>
      </c>
      <c r="I13" s="17" t="s">
        <v>1504</v>
      </c>
      <c r="J13" s="17" t="s">
        <v>1482</v>
      </c>
      <c r="K13" s="12"/>
      <c r="L13" s="17" t="s">
        <v>1505</v>
      </c>
      <c r="M13" s="17" t="s">
        <v>1506</v>
      </c>
      <c r="N13" s="17" t="s">
        <v>1507</v>
      </c>
    </row>
    <row r="14" spans="1:14" ht="11.4" customHeight="1">
      <c r="A14" s="17" t="s">
        <v>217</v>
      </c>
      <c r="B14" s="17" t="s">
        <v>80</v>
      </c>
      <c r="C14" s="17" t="s">
        <v>81</v>
      </c>
      <c r="D14" s="17" t="s">
        <v>81</v>
      </c>
      <c r="E14" s="17"/>
      <c r="F14" s="17" t="s">
        <v>1479</v>
      </c>
      <c r="G14" s="12">
        <v>5</v>
      </c>
      <c r="H14" s="12">
        <v>2023</v>
      </c>
      <c r="I14" s="12" t="s">
        <v>1508</v>
      </c>
      <c r="J14" s="12" t="s">
        <v>833</v>
      </c>
      <c r="K14" s="17"/>
      <c r="L14" s="12" t="s">
        <v>1509</v>
      </c>
      <c r="M14" s="12" t="s">
        <v>1510</v>
      </c>
      <c r="N14" s="17" t="s">
        <v>1511</v>
      </c>
    </row>
    <row r="15" spans="1:14" ht="11.4" customHeight="1">
      <c r="A15" s="17" t="s">
        <v>251</v>
      </c>
      <c r="B15" s="17" t="s">
        <v>80</v>
      </c>
      <c r="C15" s="17" t="s">
        <v>81</v>
      </c>
      <c r="D15" s="17" t="s">
        <v>81</v>
      </c>
      <c r="E15" s="17"/>
      <c r="F15" s="17" t="s">
        <v>1480</v>
      </c>
      <c r="G15" s="12">
        <v>1</v>
      </c>
      <c r="H15" s="12">
        <v>2025</v>
      </c>
      <c r="I15" s="12" t="s">
        <v>1481</v>
      </c>
      <c r="J15" s="12" t="s">
        <v>1485</v>
      </c>
      <c r="K15" s="17"/>
      <c r="L15" s="12" t="s">
        <v>1483</v>
      </c>
      <c r="M15" s="12" t="s">
        <v>1443</v>
      </c>
      <c r="N15" s="17" t="s">
        <v>1512</v>
      </c>
    </row>
    <row r="16" spans="1:14" ht="11.4" customHeight="1">
      <c r="A16" s="17" t="s">
        <v>280</v>
      </c>
      <c r="B16" s="17" t="s">
        <v>80</v>
      </c>
      <c r="C16" s="17" t="s">
        <v>80</v>
      </c>
      <c r="D16" s="17" t="s">
        <v>80</v>
      </c>
      <c r="E16" s="17" t="s">
        <v>1467</v>
      </c>
      <c r="F16" s="17" t="s">
        <v>1468</v>
      </c>
      <c r="G16" s="12">
        <v>1</v>
      </c>
      <c r="H16" s="12"/>
      <c r="I16" s="12"/>
      <c r="J16" s="12"/>
      <c r="K16" s="17"/>
      <c r="L16" s="12"/>
      <c r="M16" s="12"/>
      <c r="N16" s="17"/>
    </row>
    <row r="17" spans="1:14" ht="11.4" customHeight="1">
      <c r="A17" s="17" t="s">
        <v>309</v>
      </c>
      <c r="B17" s="17" t="s">
        <v>80</v>
      </c>
      <c r="C17" s="17" t="s">
        <v>81</v>
      </c>
      <c r="D17" s="17" t="s">
        <v>81</v>
      </c>
      <c r="E17" s="17"/>
      <c r="F17" s="17" t="s">
        <v>1471</v>
      </c>
      <c r="G17" s="12">
        <v>1</v>
      </c>
      <c r="H17" s="12">
        <v>2024</v>
      </c>
      <c r="I17" s="12" t="s">
        <v>1478</v>
      </c>
      <c r="J17" s="12" t="s">
        <v>848</v>
      </c>
      <c r="K17" s="17"/>
      <c r="L17" s="12" t="s">
        <v>1513</v>
      </c>
      <c r="M17" s="12" t="s">
        <v>1443</v>
      </c>
      <c r="N17" s="17" t="s">
        <v>1514</v>
      </c>
    </row>
    <row r="18" spans="1:14" ht="11.4" customHeight="1">
      <c r="A18" s="17" t="s">
        <v>339</v>
      </c>
      <c r="B18" s="17" t="s">
        <v>81</v>
      </c>
      <c r="C18" s="17"/>
      <c r="D18" s="17"/>
      <c r="E18" s="17"/>
      <c r="F18" s="17"/>
      <c r="G18" s="12"/>
      <c r="H18" s="12"/>
      <c r="I18" s="12"/>
      <c r="J18" s="12"/>
      <c r="K18" s="17"/>
      <c r="L18" s="12"/>
      <c r="M18" s="12"/>
      <c r="N18" s="17"/>
    </row>
    <row r="19" spans="1:14" ht="11.4" customHeight="1">
      <c r="A19" s="17" t="s">
        <v>369</v>
      </c>
      <c r="B19" s="17" t="s">
        <v>80</v>
      </c>
      <c r="C19" s="17" t="s">
        <v>81</v>
      </c>
      <c r="D19" s="17" t="s">
        <v>80</v>
      </c>
      <c r="E19" s="17" t="s">
        <v>1476</v>
      </c>
      <c r="F19" s="17" t="s">
        <v>1477</v>
      </c>
      <c r="G19" s="12">
        <v>1</v>
      </c>
      <c r="H19" s="12"/>
      <c r="I19" s="12"/>
      <c r="J19" s="12"/>
      <c r="K19" s="17"/>
      <c r="L19" s="12"/>
      <c r="M19" s="12"/>
      <c r="N19" s="17"/>
    </row>
    <row r="20" spans="1:14" ht="11.4" customHeight="1">
      <c r="A20" s="17"/>
      <c r="B20" s="17"/>
      <c r="C20" s="17"/>
      <c r="D20" s="17"/>
      <c r="E20" s="17"/>
      <c r="F20" s="17"/>
      <c r="G20" s="12"/>
      <c r="H20" s="12"/>
      <c r="I20" s="12"/>
      <c r="J20" s="12"/>
      <c r="K20" s="17"/>
      <c r="L20" s="12"/>
      <c r="M20" s="12"/>
      <c r="N20" s="17"/>
    </row>
    <row r="21" spans="1:14" ht="11.4" customHeight="1">
      <c r="A21" s="17"/>
      <c r="B21" s="17"/>
      <c r="C21" s="17"/>
      <c r="D21" s="17"/>
      <c r="E21" s="17"/>
      <c r="F21" s="17"/>
      <c r="G21" s="12"/>
      <c r="H21" s="12"/>
      <c r="I21" s="12"/>
      <c r="J21" s="12"/>
      <c r="K21" s="17"/>
      <c r="L21" s="12"/>
      <c r="M21" s="12"/>
      <c r="N21" s="17"/>
    </row>
    <row r="22" spans="1:14" ht="11.4" customHeight="1">
      <c r="A22" s="17"/>
      <c r="B22" s="17"/>
      <c r="C22" s="17"/>
      <c r="D22" s="17"/>
      <c r="E22" s="17"/>
      <c r="F22" s="17"/>
      <c r="G22" s="12"/>
      <c r="H22" s="17"/>
      <c r="I22" s="17"/>
      <c r="J22" s="17"/>
      <c r="K22" s="17"/>
      <c r="L22" s="17"/>
      <c r="M22" s="17"/>
      <c r="N22" s="17"/>
    </row>
    <row r="23" spans="1:14" ht="11.4" customHeight="1">
      <c r="A23" s="17"/>
      <c r="B23" s="17"/>
      <c r="C23" s="17"/>
      <c r="D23" s="17"/>
      <c r="E23" s="17"/>
      <c r="F23" s="17"/>
      <c r="G23" s="12"/>
      <c r="H23" s="12"/>
      <c r="I23" s="12"/>
      <c r="J23" s="12"/>
      <c r="K23" s="17"/>
      <c r="L23" s="12"/>
      <c r="M23" s="12"/>
      <c r="N23" s="17"/>
    </row>
    <row r="24" spans="1:14" ht="11.4" customHeight="1">
      <c r="A24" s="17"/>
      <c r="B24" s="17"/>
      <c r="C24" s="17"/>
      <c r="D24" s="17"/>
      <c r="E24" s="17"/>
      <c r="F24" s="17"/>
      <c r="G24" s="12"/>
      <c r="H24" s="12"/>
      <c r="I24" s="12"/>
      <c r="J24" s="12"/>
      <c r="K24" s="17"/>
      <c r="L24" s="12"/>
      <c r="M24" s="12"/>
      <c r="N24" s="17"/>
    </row>
    <row r="25" spans="1:14" ht="11.4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</row>
    <row r="26" spans="1:14" ht="11.4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</row>
    <row r="27" spans="1:14" ht="11.4" customHeight="1">
      <c r="A27" s="17"/>
      <c r="B27" s="17"/>
      <c r="C27" s="17"/>
      <c r="D27" s="17"/>
      <c r="E27" s="17"/>
      <c r="F27" s="17"/>
      <c r="G27" s="12"/>
      <c r="H27" s="12"/>
      <c r="I27" s="12"/>
      <c r="J27" s="12"/>
      <c r="K27" s="17"/>
      <c r="L27" s="12"/>
      <c r="M27" s="12"/>
      <c r="N27" s="17"/>
    </row>
    <row r="28" spans="1:14" ht="11.4" customHeight="1">
      <c r="A28" s="17"/>
      <c r="B28" s="17"/>
      <c r="C28" s="17"/>
      <c r="D28" s="17"/>
      <c r="E28" s="17"/>
      <c r="F28" s="17"/>
      <c r="G28" s="12"/>
      <c r="H28" s="12"/>
      <c r="I28" s="12"/>
      <c r="J28" s="12"/>
      <c r="K28" s="17"/>
      <c r="L28" s="12"/>
      <c r="M28" s="12"/>
      <c r="N28" s="17"/>
    </row>
    <row r="29" spans="1:14" ht="11.4" customHeight="1">
      <c r="A29" s="17"/>
      <c r="B29" s="17"/>
      <c r="C29" s="17"/>
      <c r="D29" s="17"/>
      <c r="E29" s="17"/>
      <c r="F29" s="17"/>
      <c r="G29" s="12"/>
      <c r="H29" s="12"/>
      <c r="I29" s="12"/>
      <c r="J29" s="12"/>
      <c r="K29" s="17"/>
      <c r="L29" s="12"/>
      <c r="M29" s="12"/>
      <c r="N29" s="17"/>
    </row>
    <row r="30" spans="1:14" ht="11.4" customHeight="1">
      <c r="A30" s="17"/>
      <c r="B30" s="17"/>
      <c r="C30" s="17"/>
      <c r="D30" s="17"/>
      <c r="E30" s="17"/>
      <c r="F30" s="17"/>
      <c r="G30" s="12"/>
      <c r="H30" s="12"/>
      <c r="I30" s="12"/>
      <c r="J30" s="12"/>
      <c r="K30" s="17"/>
      <c r="L30" s="12"/>
      <c r="M30" s="12"/>
      <c r="N30" s="17"/>
    </row>
    <row r="31" spans="1:14" ht="11.4" customHeight="1">
      <c r="A31" s="17"/>
      <c r="B31" s="17"/>
      <c r="C31" s="17"/>
      <c r="D31" s="17"/>
      <c r="E31" s="17"/>
      <c r="F31" s="17"/>
      <c r="G31" s="12"/>
      <c r="H31" s="12"/>
      <c r="I31" s="12"/>
      <c r="J31" s="12"/>
      <c r="K31" s="17"/>
      <c r="L31" s="12"/>
      <c r="M31" s="12"/>
      <c r="N31" s="17"/>
    </row>
    <row r="32" spans="1:14" ht="11.4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</row>
    <row r="33" spans="1:15" ht="11.4" customHeight="1">
      <c r="A33" s="17"/>
      <c r="B33" s="17"/>
      <c r="C33" s="17"/>
      <c r="D33" s="17"/>
      <c r="E33" s="17"/>
      <c r="F33" s="17"/>
      <c r="G33" s="12"/>
      <c r="H33" s="12"/>
      <c r="I33" s="12"/>
      <c r="J33" s="12"/>
      <c r="K33" s="17"/>
      <c r="L33" s="12"/>
      <c r="M33" s="12"/>
      <c r="N33" s="17"/>
    </row>
    <row r="34" spans="1:15" ht="11.4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</row>
    <row r="35" spans="1:15" ht="11.4" customHeight="1">
      <c r="A35" s="17"/>
      <c r="B35" s="17"/>
      <c r="C35" s="17"/>
      <c r="D35" s="17"/>
      <c r="E35" s="17"/>
      <c r="F35" s="17"/>
      <c r="G35" s="12"/>
      <c r="H35" s="12"/>
      <c r="I35" s="12"/>
      <c r="J35" s="12"/>
      <c r="K35" s="17"/>
      <c r="L35" s="12"/>
      <c r="M35" s="12"/>
      <c r="N35" s="17"/>
    </row>
    <row r="36" spans="1:15" ht="11.4" customHeight="1">
      <c r="A36" s="17"/>
      <c r="B36" s="17"/>
      <c r="C36" s="17"/>
      <c r="D36" s="17"/>
      <c r="E36" s="17"/>
      <c r="F36" s="17"/>
      <c r="G36" s="12"/>
      <c r="H36" s="12"/>
      <c r="I36" s="12"/>
      <c r="J36" s="12"/>
      <c r="K36" s="17"/>
      <c r="L36" s="12"/>
      <c r="M36" s="12"/>
      <c r="N36" s="17"/>
    </row>
    <row r="37" spans="1:15" ht="11.4" customHeight="1">
      <c r="A37" s="17"/>
      <c r="B37" s="17"/>
      <c r="C37" s="17"/>
      <c r="D37" s="17"/>
      <c r="E37" s="17"/>
      <c r="F37" s="17"/>
      <c r="G37" s="12"/>
      <c r="H37" s="12"/>
      <c r="I37" s="12"/>
      <c r="J37" s="12"/>
      <c r="K37" s="17"/>
      <c r="L37" s="12"/>
      <c r="M37" s="12"/>
      <c r="N37" s="17"/>
    </row>
    <row r="38" spans="1:15" ht="11.4" customHeight="1">
      <c r="A38" s="17"/>
      <c r="B38" s="17"/>
      <c r="C38" s="17"/>
      <c r="D38" s="17"/>
      <c r="E38" s="17"/>
      <c r="F38" s="17"/>
      <c r="G38" s="12"/>
      <c r="H38" s="12"/>
      <c r="I38" s="12"/>
      <c r="J38" s="12"/>
      <c r="K38" s="17"/>
      <c r="L38" s="12"/>
      <c r="M38" s="12"/>
      <c r="N38" s="17"/>
    </row>
    <row r="39" spans="1:15" ht="11.4" customHeight="1">
      <c r="A39" s="17"/>
      <c r="B39" s="17"/>
      <c r="C39" s="17"/>
      <c r="D39" s="17"/>
      <c r="E39" s="17"/>
      <c r="F39" s="17"/>
      <c r="G39" s="12"/>
      <c r="H39" s="17"/>
      <c r="I39" s="17"/>
      <c r="J39" s="17"/>
      <c r="K39" s="17"/>
      <c r="L39" s="17"/>
      <c r="M39" s="17"/>
      <c r="N39" s="17"/>
    </row>
    <row r="40" spans="1:15" ht="11.4" customHeight="1">
      <c r="A40" s="17"/>
      <c r="B40" s="17"/>
      <c r="C40" s="17"/>
      <c r="D40" s="17"/>
      <c r="E40" s="17"/>
      <c r="F40" s="17"/>
      <c r="G40" s="12"/>
      <c r="H40" s="17"/>
      <c r="I40" s="17"/>
      <c r="J40" s="17"/>
      <c r="K40" s="17"/>
      <c r="L40" s="17"/>
      <c r="M40" s="17"/>
      <c r="N40" s="17"/>
    </row>
    <row r="41" spans="1:15" ht="11.4" customHeight="1">
      <c r="A41" s="17"/>
      <c r="B41" s="17"/>
      <c r="C41" s="17"/>
      <c r="D41" s="17"/>
      <c r="E41" s="17"/>
      <c r="F41" s="17"/>
      <c r="G41" s="12"/>
      <c r="H41" s="12"/>
      <c r="I41" s="12"/>
      <c r="J41" s="12"/>
      <c r="K41" s="17"/>
      <c r="L41" s="12"/>
      <c r="M41" s="12"/>
      <c r="N41" s="17"/>
    </row>
    <row r="42" spans="1:15" ht="11.4" customHeight="1">
      <c r="A42" s="17"/>
      <c r="B42" s="17"/>
      <c r="C42" s="17"/>
      <c r="D42" s="17"/>
      <c r="E42" s="17"/>
      <c r="F42" s="17"/>
      <c r="G42" s="12"/>
      <c r="H42" s="12"/>
      <c r="I42" s="12"/>
      <c r="J42" s="12"/>
      <c r="K42" s="17"/>
      <c r="L42" s="12"/>
      <c r="M42" s="12"/>
      <c r="N42" s="17"/>
    </row>
    <row r="43" spans="1:15" ht="11.4" customHeight="1">
      <c r="A43" s="17"/>
      <c r="B43" s="17"/>
      <c r="C43" s="17"/>
      <c r="D43" s="17"/>
      <c r="E43" s="17"/>
      <c r="F43" s="17"/>
      <c r="G43" s="12"/>
      <c r="H43" s="12"/>
      <c r="I43" s="12"/>
      <c r="J43" s="12"/>
      <c r="K43" s="17"/>
      <c r="L43" s="12"/>
      <c r="M43" s="12"/>
      <c r="N43" s="17"/>
    </row>
    <row r="44" spans="1:15" ht="11.4" customHeight="1">
      <c r="A44" s="17"/>
      <c r="B44" s="17"/>
      <c r="C44" s="17"/>
      <c r="D44" s="17"/>
      <c r="E44" s="17"/>
      <c r="F44" s="17"/>
      <c r="G44" s="12"/>
      <c r="H44" s="12"/>
      <c r="I44" s="12"/>
      <c r="J44" s="12"/>
      <c r="K44" s="17"/>
      <c r="L44" s="12"/>
      <c r="M44" s="12"/>
      <c r="N44" s="17"/>
      <c r="O44" s="17"/>
    </row>
    <row r="45" spans="1:15" ht="11.4" customHeight="1">
      <c r="A45" s="17"/>
      <c r="B45" s="17"/>
      <c r="C45" s="17"/>
      <c r="D45" s="17"/>
      <c r="E45" s="17"/>
      <c r="F45" s="17"/>
      <c r="G45" s="12"/>
      <c r="H45" s="12"/>
      <c r="I45" s="12"/>
      <c r="J45" s="12"/>
      <c r="K45" s="17"/>
      <c r="L45" s="12"/>
      <c r="M45" s="12"/>
      <c r="N45" s="17"/>
    </row>
    <row r="46" spans="1:15" ht="11.4" customHeight="1">
      <c r="A46" s="17"/>
      <c r="B46" s="17"/>
      <c r="C46" s="17"/>
      <c r="D46" s="17"/>
      <c r="E46" s="17"/>
      <c r="F46" s="17"/>
      <c r="G46" s="12"/>
      <c r="H46" s="17"/>
      <c r="I46" s="17"/>
      <c r="J46" s="17"/>
      <c r="K46" s="17"/>
      <c r="L46" s="17"/>
      <c r="M46" s="17"/>
      <c r="N46" s="17"/>
    </row>
    <row r="47" spans="1:15" ht="11.4" customHeight="1">
      <c r="A47" s="17"/>
      <c r="B47" s="17"/>
      <c r="C47" s="17"/>
      <c r="D47" s="17"/>
      <c r="E47" s="17"/>
      <c r="F47" s="17"/>
      <c r="G47" s="12"/>
      <c r="H47" s="12"/>
      <c r="I47" s="12"/>
      <c r="J47" s="12"/>
      <c r="K47" s="17"/>
      <c r="L47" s="12"/>
      <c r="M47" s="12"/>
      <c r="N47" s="17"/>
    </row>
    <row r="48" spans="1:15" ht="11.4" customHeight="1">
      <c r="A48" s="17"/>
      <c r="B48" s="17"/>
      <c r="C48" s="17"/>
      <c r="D48" s="17"/>
      <c r="E48" s="17"/>
      <c r="F48" s="17"/>
      <c r="G48" s="12"/>
      <c r="H48" s="17"/>
      <c r="I48" s="17"/>
      <c r="J48" s="17"/>
      <c r="K48" s="17"/>
      <c r="L48" s="17"/>
      <c r="M48" s="17"/>
      <c r="N48" s="17"/>
    </row>
    <row r="49" spans="1:14" ht="11.4" customHeight="1">
      <c r="A49" s="17"/>
      <c r="B49" s="17"/>
      <c r="C49" s="17"/>
      <c r="D49" s="17"/>
      <c r="E49" s="17"/>
      <c r="F49" s="17"/>
      <c r="G49" s="12"/>
      <c r="H49" s="12"/>
      <c r="I49" s="12"/>
      <c r="J49" s="12"/>
      <c r="K49" s="17"/>
      <c r="L49" s="12"/>
      <c r="M49" s="12"/>
      <c r="N49" s="17"/>
    </row>
    <row r="50" spans="1:14" ht="11.4" customHeight="1">
      <c r="A50" s="17"/>
      <c r="B50" s="17"/>
      <c r="C50" s="17"/>
      <c r="D50" s="17"/>
      <c r="E50" s="17"/>
      <c r="F50" s="17"/>
      <c r="G50" s="12"/>
      <c r="H50" s="12"/>
      <c r="I50" s="12"/>
      <c r="J50" s="12"/>
      <c r="K50" s="17"/>
      <c r="L50" s="12"/>
      <c r="M50" s="12"/>
      <c r="N50" s="17"/>
    </row>
    <row r="51" spans="1:14" ht="11.4" customHeight="1">
      <c r="A51" s="17"/>
      <c r="B51" s="17"/>
      <c r="C51" s="17"/>
      <c r="D51" s="17"/>
      <c r="E51" s="17"/>
      <c r="F51" s="17"/>
      <c r="G51" s="12"/>
      <c r="H51" s="12"/>
      <c r="I51" s="12"/>
      <c r="J51" s="12"/>
      <c r="K51" s="17"/>
      <c r="L51" s="12"/>
      <c r="M51" s="12"/>
      <c r="N51" s="17"/>
    </row>
    <row r="52" spans="1:14" ht="12" customHeight="1">
      <c r="A52" s="17"/>
      <c r="B52" s="17"/>
      <c r="C52" s="17"/>
      <c r="D52" s="17"/>
      <c r="E52" s="17"/>
      <c r="F52" s="17"/>
      <c r="G52" s="12"/>
      <c r="H52" s="12"/>
      <c r="I52" s="12"/>
      <c r="J52" s="12"/>
      <c r="K52" s="17"/>
      <c r="L52" s="12"/>
      <c r="M52" s="12"/>
      <c r="N52" s="17"/>
    </row>
    <row r="53" spans="1:14" ht="12" customHeight="1">
      <c r="A53" s="17"/>
      <c r="B53" s="17"/>
      <c r="C53" s="17"/>
      <c r="D53" s="17"/>
      <c r="E53" s="17"/>
      <c r="F53" s="17"/>
      <c r="G53" s="12"/>
      <c r="H53" s="12"/>
      <c r="I53" s="12"/>
      <c r="J53" s="12"/>
      <c r="K53" s="17"/>
      <c r="L53" s="12"/>
      <c r="M53" s="12"/>
      <c r="N53" s="17"/>
    </row>
    <row r="54" spans="1:14" ht="12" customHeight="1">
      <c r="A54" s="17"/>
      <c r="B54" s="17"/>
      <c r="C54" s="17"/>
      <c r="D54" s="17"/>
      <c r="E54" s="17"/>
      <c r="F54" s="17"/>
      <c r="G54" s="12"/>
      <c r="H54" s="12"/>
      <c r="I54" s="12"/>
      <c r="J54" s="12"/>
      <c r="K54" s="17"/>
      <c r="L54" s="12"/>
      <c r="M54" s="12"/>
      <c r="N54" s="17"/>
    </row>
    <row r="55" spans="1:14" ht="12" customHeight="1">
      <c r="A55" s="17"/>
      <c r="B55" s="17"/>
      <c r="C55" s="17"/>
      <c r="D55" s="17"/>
      <c r="E55" s="17"/>
      <c r="F55" s="17"/>
      <c r="G55" s="12"/>
      <c r="H55" s="12"/>
      <c r="I55" s="12"/>
      <c r="J55" s="12"/>
      <c r="K55" s="17"/>
      <c r="L55" s="12"/>
      <c r="M55" s="12"/>
      <c r="N55" s="17"/>
    </row>
    <row r="56" spans="1:14" ht="12" customHeight="1">
      <c r="A56" s="17"/>
      <c r="B56" s="17"/>
      <c r="C56" s="17"/>
      <c r="D56" s="17"/>
      <c r="E56" s="17"/>
      <c r="F56" s="17"/>
      <c r="G56" s="12"/>
      <c r="H56" s="17"/>
      <c r="I56" s="17"/>
      <c r="J56" s="17"/>
      <c r="K56" s="17"/>
      <c r="L56" s="17"/>
      <c r="M56" s="17"/>
    </row>
    <row r="57" spans="1:14" ht="12" customHeight="1">
      <c r="A57" s="17"/>
      <c r="B57" s="17"/>
      <c r="C57" s="17"/>
      <c r="D57" s="17"/>
      <c r="E57" s="17"/>
      <c r="F57" s="17"/>
      <c r="G57" s="12"/>
      <c r="H57" s="17"/>
      <c r="I57" s="17"/>
      <c r="J57" s="17"/>
      <c r="K57" s="17"/>
      <c r="L57" s="17"/>
      <c r="M57" s="17"/>
    </row>
    <row r="58" spans="1:14" ht="12" customHeight="1">
      <c r="A58" s="17"/>
      <c r="B58" s="17"/>
      <c r="C58" s="17"/>
      <c r="D58" s="17"/>
      <c r="E58" s="17"/>
      <c r="F58" s="17"/>
      <c r="G58" s="12"/>
      <c r="H58" s="17"/>
      <c r="I58" s="17"/>
      <c r="J58" s="17"/>
      <c r="K58" s="17"/>
      <c r="L58" s="17"/>
      <c r="M58" s="17"/>
    </row>
    <row r="59" spans="1:14" ht="12" customHeight="1">
      <c r="A59" s="17"/>
      <c r="B59" s="17"/>
      <c r="C59" s="17"/>
      <c r="D59" s="17"/>
      <c r="E59" s="17"/>
      <c r="F59" s="17"/>
      <c r="G59" s="12"/>
      <c r="H59" s="17"/>
      <c r="I59" s="17"/>
      <c r="J59" s="17"/>
      <c r="K59" s="12"/>
      <c r="L59" s="17"/>
      <c r="M59" s="17"/>
    </row>
  </sheetData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13"/>
  <sheetViews>
    <sheetView workbookViewId="0">
      <selection activeCell="A3" sqref="A3:XFD5"/>
    </sheetView>
  </sheetViews>
  <sheetFormatPr defaultRowHeight="14.4"/>
  <cols>
    <col min="1" max="1" width="9.33203125" customWidth="1"/>
    <col min="2" max="3" width="41" customWidth="1"/>
    <col min="4" max="4" width="39" customWidth="1"/>
    <col min="5" max="5" width="25" customWidth="1"/>
    <col min="6" max="7" width="18" customWidth="1"/>
    <col min="8" max="9" width="9.33203125" customWidth="1"/>
    <col min="10" max="10" width="34" customWidth="1"/>
    <col min="11" max="12" width="42.109375" customWidth="1"/>
    <col min="13" max="24" width="13.5546875" customWidth="1"/>
  </cols>
  <sheetData>
    <row r="1" spans="1:12">
      <c r="A1" s="17" t="s">
        <v>0</v>
      </c>
      <c r="B1" s="17" t="s">
        <v>1515</v>
      </c>
      <c r="C1" s="17" t="s">
        <v>1125</v>
      </c>
      <c r="D1" s="17" t="s">
        <v>1516</v>
      </c>
      <c r="E1" s="17" t="s">
        <v>1517</v>
      </c>
      <c r="F1" s="17" t="s">
        <v>1518</v>
      </c>
      <c r="G1" s="17" t="s">
        <v>395</v>
      </c>
      <c r="H1" s="17" t="s">
        <v>146</v>
      </c>
      <c r="I1" s="17" t="s">
        <v>396</v>
      </c>
      <c r="J1" s="17" t="s">
        <v>1519</v>
      </c>
      <c r="K1" s="17" t="s">
        <v>1520</v>
      </c>
      <c r="L1" s="17" t="s">
        <v>409</v>
      </c>
    </row>
    <row r="2" spans="1:12">
      <c r="A2" s="17" t="s">
        <v>78</v>
      </c>
      <c r="B2" s="17" t="s">
        <v>80</v>
      </c>
      <c r="C2" s="17">
        <v>1</v>
      </c>
      <c r="D2" s="17" t="s">
        <v>1521</v>
      </c>
      <c r="E2" s="17" t="s">
        <v>1522</v>
      </c>
      <c r="F2" s="17" t="s">
        <v>292</v>
      </c>
      <c r="G2" s="17" t="s">
        <v>1523</v>
      </c>
      <c r="H2" s="17" t="s">
        <v>1524</v>
      </c>
      <c r="I2" s="17" t="s">
        <v>1525</v>
      </c>
      <c r="J2" s="17" t="s">
        <v>80</v>
      </c>
      <c r="K2" s="17"/>
      <c r="L2" s="17" t="s">
        <v>1526</v>
      </c>
    </row>
    <row r="3" spans="1:12">
      <c r="A3" s="17" t="s">
        <v>116</v>
      </c>
      <c r="B3" s="17" t="s">
        <v>80</v>
      </c>
      <c r="C3" s="17">
        <v>1</v>
      </c>
      <c r="D3" s="17" t="s">
        <v>1536</v>
      </c>
      <c r="E3" s="17" t="s">
        <v>1537</v>
      </c>
      <c r="F3" s="17"/>
      <c r="G3" s="17" t="s">
        <v>165</v>
      </c>
      <c r="H3" s="17" t="s">
        <v>133</v>
      </c>
      <c r="I3" s="17" t="s">
        <v>166</v>
      </c>
      <c r="J3" s="17" t="s">
        <v>81</v>
      </c>
      <c r="K3" s="17" t="s">
        <v>1538</v>
      </c>
      <c r="L3" s="17" t="s">
        <v>1539</v>
      </c>
    </row>
    <row r="4" spans="1:12">
      <c r="A4" s="17" t="s">
        <v>116</v>
      </c>
      <c r="B4" s="17" t="s">
        <v>80</v>
      </c>
      <c r="C4" s="17">
        <v>2</v>
      </c>
      <c r="D4" s="17" t="s">
        <v>1527</v>
      </c>
      <c r="E4" s="17" t="s">
        <v>1528</v>
      </c>
      <c r="F4" s="17"/>
      <c r="G4" s="17" t="s">
        <v>1540</v>
      </c>
      <c r="H4" s="17" t="s">
        <v>1541</v>
      </c>
      <c r="I4" s="17">
        <v>73102</v>
      </c>
      <c r="J4" s="17" t="s">
        <v>81</v>
      </c>
      <c r="K4" s="17" t="s">
        <v>1529</v>
      </c>
      <c r="L4" s="17" t="s">
        <v>1530</v>
      </c>
    </row>
    <row r="5" spans="1:12">
      <c r="A5" s="17" t="s">
        <v>116</v>
      </c>
      <c r="B5" s="17" t="s">
        <v>80</v>
      </c>
      <c r="C5" s="17">
        <v>3</v>
      </c>
      <c r="D5" s="17" t="s">
        <v>1527</v>
      </c>
      <c r="E5" s="17" t="s">
        <v>1528</v>
      </c>
      <c r="F5" s="17"/>
      <c r="G5" s="17" t="s">
        <v>1542</v>
      </c>
      <c r="H5" s="17" t="s">
        <v>203</v>
      </c>
      <c r="I5" s="17">
        <v>57501</v>
      </c>
      <c r="J5" s="17" t="s">
        <v>81</v>
      </c>
      <c r="K5" s="17" t="s">
        <v>1529</v>
      </c>
      <c r="L5" s="17" t="s">
        <v>1530</v>
      </c>
    </row>
    <row r="6" spans="1:12">
      <c r="A6" s="17" t="s">
        <v>151</v>
      </c>
      <c r="B6" s="17" t="s">
        <v>81</v>
      </c>
    </row>
    <row r="7" spans="1:12">
      <c r="A7" s="17" t="s">
        <v>188</v>
      </c>
      <c r="B7" s="17" t="s">
        <v>80</v>
      </c>
      <c r="C7" s="17">
        <v>1</v>
      </c>
      <c r="D7" s="17" t="s">
        <v>1531</v>
      </c>
      <c r="E7" s="17" t="s">
        <v>1532</v>
      </c>
      <c r="F7" s="17" t="s">
        <v>1533</v>
      </c>
      <c r="G7" s="17" t="s">
        <v>1543</v>
      </c>
      <c r="H7" s="17" t="s">
        <v>1544</v>
      </c>
      <c r="I7" s="17">
        <v>75201</v>
      </c>
      <c r="J7" s="17" t="s">
        <v>81</v>
      </c>
      <c r="K7" s="17" t="s">
        <v>1534</v>
      </c>
      <c r="L7" s="17" t="s">
        <v>1535</v>
      </c>
    </row>
    <row r="8" spans="1:12">
      <c r="A8" s="17" t="s">
        <v>217</v>
      </c>
      <c r="B8" s="17" t="s">
        <v>80</v>
      </c>
      <c r="C8" s="17">
        <v>1</v>
      </c>
      <c r="D8" s="17" t="s">
        <v>1536</v>
      </c>
      <c r="E8" s="17" t="s">
        <v>1537</v>
      </c>
      <c r="F8" s="17"/>
      <c r="G8" s="17" t="s">
        <v>1545</v>
      </c>
      <c r="H8" s="17" t="s">
        <v>294</v>
      </c>
      <c r="I8" s="17">
        <v>84401</v>
      </c>
      <c r="J8" s="17" t="s">
        <v>81</v>
      </c>
      <c r="K8" s="17" t="s">
        <v>1538</v>
      </c>
      <c r="L8" s="17" t="s">
        <v>1539</v>
      </c>
    </row>
    <row r="9" spans="1:12">
      <c r="A9" s="17" t="s">
        <v>251</v>
      </c>
      <c r="B9" s="17" t="s">
        <v>81</v>
      </c>
    </row>
    <row r="10" spans="1:12">
      <c r="A10" s="17" t="s">
        <v>280</v>
      </c>
      <c r="B10" s="17" t="s">
        <v>81</v>
      </c>
    </row>
    <row r="11" spans="1:12">
      <c r="A11" s="17" t="s">
        <v>309</v>
      </c>
      <c r="B11" s="17" t="s">
        <v>80</v>
      </c>
      <c r="C11" s="17">
        <v>1</v>
      </c>
      <c r="D11" s="17" t="s">
        <v>1546</v>
      </c>
      <c r="E11" s="17" t="s">
        <v>1547</v>
      </c>
      <c r="F11" s="17"/>
      <c r="G11" s="17" t="s">
        <v>1548</v>
      </c>
      <c r="H11" s="17" t="s">
        <v>381</v>
      </c>
      <c r="I11" s="17">
        <v>98402</v>
      </c>
      <c r="J11" s="17" t="s">
        <v>81</v>
      </c>
      <c r="K11" s="17" t="s">
        <v>1549</v>
      </c>
      <c r="L11" s="17" t="s">
        <v>1550</v>
      </c>
    </row>
    <row r="12" spans="1:12">
      <c r="A12" s="17" t="s">
        <v>339</v>
      </c>
      <c r="B12" s="17" t="s">
        <v>80</v>
      </c>
      <c r="C12" s="17">
        <v>1</v>
      </c>
      <c r="D12" s="17" t="s">
        <v>1551</v>
      </c>
      <c r="E12" s="17" t="s">
        <v>1552</v>
      </c>
      <c r="F12" s="17" t="s">
        <v>140</v>
      </c>
      <c r="G12" s="17" t="s">
        <v>386</v>
      </c>
      <c r="H12" s="17" t="s">
        <v>241</v>
      </c>
      <c r="I12" s="17">
        <v>25301</v>
      </c>
      <c r="J12" s="17" t="s">
        <v>80</v>
      </c>
      <c r="K12" s="17"/>
      <c r="L12" s="17" t="s">
        <v>1553</v>
      </c>
    </row>
    <row r="13" spans="1:12">
      <c r="A13" s="17" t="s">
        <v>369</v>
      </c>
      <c r="B13" s="17" t="s">
        <v>81</v>
      </c>
    </row>
  </sheetData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56"/>
  <sheetViews>
    <sheetView tabSelected="1" workbookViewId="0">
      <selection activeCell="E18" sqref="E18"/>
    </sheetView>
  </sheetViews>
  <sheetFormatPr defaultRowHeight="14.4"/>
  <cols>
    <col min="1" max="1" width="9.33203125" customWidth="1"/>
    <col min="2" max="2" width="42.109375" customWidth="1"/>
    <col min="3" max="3" width="20" customWidth="1"/>
    <col min="4" max="4" width="25" customWidth="1"/>
    <col min="5" max="5" width="42.109375" customWidth="1"/>
    <col min="6" max="10" width="23" customWidth="1"/>
    <col min="11" max="24" width="13.5546875" customWidth="1"/>
  </cols>
  <sheetData>
    <row r="1" spans="1:10">
      <c r="A1" s="12" t="s">
        <v>0</v>
      </c>
      <c r="B1" s="12" t="s">
        <v>1554</v>
      </c>
      <c r="C1" s="12" t="s">
        <v>1555</v>
      </c>
      <c r="D1" s="12" t="s">
        <v>1556</v>
      </c>
      <c r="E1" s="12" t="s">
        <v>409</v>
      </c>
      <c r="F1" s="12" t="s">
        <v>1557</v>
      </c>
      <c r="G1" s="12" t="s">
        <v>1558</v>
      </c>
      <c r="H1" s="12" t="s">
        <v>1559</v>
      </c>
      <c r="I1" s="12" t="s">
        <v>1560</v>
      </c>
      <c r="J1" s="12" t="s">
        <v>1561</v>
      </c>
    </row>
    <row r="2" spans="1:10">
      <c r="A2" s="12" t="s">
        <v>78</v>
      </c>
      <c r="B2" s="17">
        <v>105000</v>
      </c>
      <c r="C2" s="17">
        <v>21000</v>
      </c>
      <c r="D2" s="17">
        <v>10500</v>
      </c>
      <c r="E2" s="12" t="s">
        <v>1562</v>
      </c>
      <c r="F2" s="12" t="s">
        <v>1138</v>
      </c>
    </row>
    <row r="3" spans="1:10">
      <c r="A3" s="12" t="s">
        <v>116</v>
      </c>
      <c r="B3" s="17">
        <v>110000</v>
      </c>
      <c r="C3" s="17">
        <v>22000</v>
      </c>
      <c r="D3" s="17">
        <v>11000</v>
      </c>
      <c r="E3" s="12" t="s">
        <v>1563</v>
      </c>
      <c r="F3" s="12" t="s">
        <v>1564</v>
      </c>
      <c r="G3" s="12" t="s">
        <v>1565</v>
      </c>
    </row>
    <row r="4" spans="1:10">
      <c r="A4" s="12" t="s">
        <v>151</v>
      </c>
      <c r="B4" s="17">
        <v>115000</v>
      </c>
      <c r="C4" s="17">
        <v>23000</v>
      </c>
      <c r="D4" s="17">
        <v>11500</v>
      </c>
      <c r="E4" s="12" t="s">
        <v>1566</v>
      </c>
      <c r="F4" s="12" t="s">
        <v>1187</v>
      </c>
    </row>
    <row r="5" spans="1:10">
      <c r="A5" s="12" t="s">
        <v>188</v>
      </c>
      <c r="B5" s="17">
        <v>120000</v>
      </c>
      <c r="C5" s="17">
        <v>24000</v>
      </c>
      <c r="D5" s="17">
        <v>12000</v>
      </c>
      <c r="E5" s="12" t="s">
        <v>1567</v>
      </c>
      <c r="F5" s="12" t="s">
        <v>1193</v>
      </c>
      <c r="G5" s="12" t="s">
        <v>1568</v>
      </c>
      <c r="H5" s="12" t="s">
        <v>306</v>
      </c>
    </row>
    <row r="6" spans="1:10">
      <c r="A6" s="12" t="s">
        <v>217</v>
      </c>
      <c r="B6" s="17">
        <v>125000</v>
      </c>
      <c r="C6" s="17">
        <v>25000</v>
      </c>
      <c r="D6" s="17">
        <v>12500</v>
      </c>
      <c r="E6" s="12" t="s">
        <v>1569</v>
      </c>
      <c r="F6" s="12" t="s">
        <v>1199</v>
      </c>
      <c r="G6" s="12" t="s">
        <v>1570</v>
      </c>
    </row>
    <row r="7" spans="1:10">
      <c r="A7" s="12" t="s">
        <v>251</v>
      </c>
      <c r="B7" s="17">
        <v>130000</v>
      </c>
      <c r="C7" s="17">
        <v>26000</v>
      </c>
      <c r="D7" s="17">
        <v>13000</v>
      </c>
      <c r="E7" s="12" t="s">
        <v>1571</v>
      </c>
      <c r="F7" s="12" t="s">
        <v>1205</v>
      </c>
    </row>
    <row r="8" spans="1:10">
      <c r="A8" s="12" t="s">
        <v>280</v>
      </c>
      <c r="B8" s="17">
        <v>135000</v>
      </c>
      <c r="C8" s="17">
        <v>27000</v>
      </c>
      <c r="D8" s="17">
        <v>0</v>
      </c>
      <c r="E8" s="12" t="s">
        <v>1572</v>
      </c>
      <c r="F8" s="12" t="s">
        <v>1573</v>
      </c>
      <c r="G8" s="12" t="s">
        <v>1574</v>
      </c>
    </row>
    <row r="9" spans="1:10">
      <c r="A9" s="12" t="s">
        <v>309</v>
      </c>
      <c r="B9" s="17">
        <v>140000</v>
      </c>
      <c r="C9" s="17">
        <v>28000</v>
      </c>
      <c r="D9" s="17">
        <v>14000</v>
      </c>
      <c r="E9" s="12" t="s">
        <v>1575</v>
      </c>
      <c r="F9" s="12" t="s">
        <v>1576</v>
      </c>
    </row>
    <row r="10" spans="1:10">
      <c r="A10" s="12" t="s">
        <v>339</v>
      </c>
      <c r="B10" s="17">
        <v>145000</v>
      </c>
      <c r="C10" s="17">
        <v>0</v>
      </c>
      <c r="D10" s="17">
        <v>14500</v>
      </c>
      <c r="E10" s="12" t="s">
        <v>1577</v>
      </c>
      <c r="F10" s="12" t="s">
        <v>1578</v>
      </c>
      <c r="G10" s="12" t="s">
        <v>1579</v>
      </c>
      <c r="H10" s="12" t="s">
        <v>1580</v>
      </c>
    </row>
    <row r="11" spans="1:10">
      <c r="A11" s="12" t="s">
        <v>369</v>
      </c>
      <c r="B11" s="17">
        <v>150000</v>
      </c>
      <c r="C11" s="17">
        <v>30000</v>
      </c>
      <c r="D11" s="17">
        <v>15000</v>
      </c>
      <c r="E11" s="12" t="s">
        <v>1581</v>
      </c>
      <c r="F11" s="12" t="s">
        <v>1582</v>
      </c>
    </row>
    <row r="12" spans="1:10">
      <c r="A12" s="12"/>
      <c r="B12" s="17"/>
      <c r="C12" s="17"/>
      <c r="D12" s="17"/>
    </row>
    <row r="13" spans="1:10">
      <c r="A13" s="12"/>
      <c r="B13" s="17"/>
      <c r="C13" s="17"/>
      <c r="D13" s="17"/>
    </row>
    <row r="14" spans="1:10">
      <c r="A14" s="12"/>
      <c r="B14" s="17"/>
      <c r="C14" s="17"/>
      <c r="D14" s="17"/>
    </row>
    <row r="15" spans="1:10">
      <c r="A15" s="12"/>
      <c r="B15" s="17"/>
      <c r="C15" s="17"/>
      <c r="D15" s="17"/>
    </row>
    <row r="16" spans="1:10">
      <c r="A16" s="12"/>
      <c r="B16" s="17"/>
      <c r="C16" s="17"/>
      <c r="D16" s="17"/>
    </row>
    <row r="17" spans="1:4">
      <c r="A17" s="12"/>
      <c r="B17" s="17"/>
      <c r="C17" s="17"/>
      <c r="D17" s="17"/>
    </row>
    <row r="18" spans="1:4">
      <c r="A18" s="12"/>
      <c r="B18" s="17"/>
      <c r="C18" s="17"/>
      <c r="D18" s="17"/>
    </row>
    <row r="19" spans="1:4">
      <c r="A19" s="12"/>
      <c r="B19" s="17"/>
      <c r="C19" s="17"/>
      <c r="D19" s="17"/>
    </row>
    <row r="20" spans="1:4">
      <c r="A20" s="12"/>
      <c r="B20" s="17"/>
      <c r="C20" s="17"/>
      <c r="D20" s="17"/>
    </row>
    <row r="21" spans="1:4">
      <c r="A21" s="12"/>
      <c r="B21" s="17"/>
      <c r="C21" s="17"/>
      <c r="D21" s="17"/>
    </row>
    <row r="22" spans="1:4">
      <c r="A22" s="12"/>
      <c r="B22" s="17"/>
      <c r="C22" s="17"/>
      <c r="D22" s="17"/>
    </row>
    <row r="23" spans="1:4">
      <c r="A23" s="12"/>
      <c r="B23" s="17"/>
      <c r="C23" s="17"/>
      <c r="D23" s="17"/>
    </row>
    <row r="24" spans="1:4">
      <c r="A24" s="12"/>
      <c r="B24" s="17"/>
      <c r="C24" s="17"/>
      <c r="D24" s="17"/>
    </row>
    <row r="25" spans="1:4">
      <c r="A25" s="12"/>
      <c r="B25" s="17"/>
      <c r="C25" s="17"/>
      <c r="D25" s="17"/>
    </row>
    <row r="26" spans="1:4">
      <c r="A26" s="12"/>
      <c r="B26" s="17"/>
      <c r="C26" s="17"/>
      <c r="D26" s="17"/>
    </row>
    <row r="27" spans="1:4">
      <c r="A27" s="12"/>
      <c r="B27" s="17"/>
      <c r="C27" s="17"/>
      <c r="D27" s="17"/>
    </row>
    <row r="28" spans="1:4">
      <c r="A28" s="12"/>
      <c r="B28" s="17"/>
      <c r="C28" s="17"/>
      <c r="D28" s="17"/>
    </row>
    <row r="29" spans="1:4">
      <c r="A29" s="12"/>
      <c r="B29" s="17"/>
      <c r="C29" s="17"/>
      <c r="D29" s="17"/>
    </row>
    <row r="30" spans="1:4">
      <c r="A30" s="12"/>
      <c r="B30" s="17"/>
      <c r="C30" s="17"/>
      <c r="D30" s="17"/>
    </row>
    <row r="31" spans="1:4">
      <c r="A31" s="12"/>
      <c r="B31" s="17"/>
      <c r="C31" s="17"/>
      <c r="D31" s="17"/>
    </row>
    <row r="32" spans="1:4">
      <c r="A32" s="12"/>
      <c r="B32" s="17"/>
      <c r="C32" s="17"/>
      <c r="D32" s="17"/>
    </row>
    <row r="33" spans="1:4">
      <c r="A33" s="12"/>
      <c r="B33" s="17"/>
      <c r="C33" s="17"/>
      <c r="D33" s="17"/>
    </row>
    <row r="34" spans="1:4">
      <c r="A34" s="12"/>
      <c r="B34" s="17"/>
      <c r="C34" s="17"/>
      <c r="D34" s="17"/>
    </row>
    <row r="35" spans="1:4">
      <c r="A35" s="12"/>
      <c r="B35" s="17"/>
      <c r="C35" s="17"/>
      <c r="D35" s="17"/>
    </row>
    <row r="36" spans="1:4">
      <c r="A36" s="12"/>
      <c r="B36" s="17"/>
      <c r="C36" s="17"/>
      <c r="D36" s="17"/>
    </row>
    <row r="37" spans="1:4">
      <c r="A37" s="12"/>
      <c r="B37" s="17"/>
      <c r="C37" s="17"/>
      <c r="D37" s="17"/>
    </row>
    <row r="38" spans="1:4">
      <c r="A38" s="12"/>
      <c r="B38" s="17"/>
      <c r="C38" s="17"/>
      <c r="D38" s="17"/>
    </row>
    <row r="39" spans="1:4">
      <c r="A39" s="12"/>
      <c r="B39" s="17"/>
      <c r="C39" s="17"/>
      <c r="D39" s="17"/>
    </row>
    <row r="40" spans="1:4">
      <c r="A40" s="12"/>
      <c r="B40" s="17"/>
      <c r="C40" s="17"/>
      <c r="D40" s="17"/>
    </row>
    <row r="41" spans="1:4">
      <c r="A41" s="12"/>
      <c r="B41" s="17"/>
      <c r="C41" s="17"/>
      <c r="D41" s="17"/>
    </row>
    <row r="42" spans="1:4">
      <c r="A42" s="12"/>
      <c r="B42" s="17"/>
      <c r="C42" s="17"/>
      <c r="D42" s="17"/>
    </row>
    <row r="43" spans="1:4">
      <c r="A43" s="12"/>
      <c r="B43" s="17"/>
      <c r="C43" s="17"/>
      <c r="D43" s="17"/>
    </row>
    <row r="44" spans="1:4">
      <c r="A44" s="12"/>
      <c r="B44" s="17"/>
      <c r="C44" s="17"/>
      <c r="D44" s="17"/>
    </row>
    <row r="45" spans="1:4">
      <c r="A45" s="12"/>
      <c r="B45" s="17"/>
      <c r="C45" s="17"/>
      <c r="D45" s="17"/>
    </row>
    <row r="46" spans="1:4">
      <c r="A46" s="12"/>
      <c r="B46" s="17"/>
      <c r="C46" s="17"/>
      <c r="D46" s="17"/>
    </row>
    <row r="47" spans="1:4">
      <c r="A47" s="12"/>
      <c r="B47" s="17"/>
      <c r="C47" s="17"/>
      <c r="D47" s="17"/>
    </row>
    <row r="48" spans="1:4">
      <c r="A48" s="12"/>
      <c r="B48" s="17"/>
      <c r="C48" s="17"/>
      <c r="D48" s="17"/>
    </row>
    <row r="49" spans="1:7">
      <c r="A49" s="12"/>
      <c r="B49" s="17"/>
      <c r="C49" s="17"/>
      <c r="D49" s="17"/>
    </row>
    <row r="50" spans="1:7">
      <c r="A50" s="12"/>
      <c r="B50" s="17"/>
      <c r="C50" s="17"/>
      <c r="D50" s="17"/>
    </row>
    <row r="51" spans="1:7">
      <c r="A51" s="12"/>
      <c r="B51" s="17"/>
      <c r="C51" s="17"/>
      <c r="D51" s="17"/>
    </row>
    <row r="56" spans="1:7">
      <c r="A56" s="12"/>
      <c r="B56" s="12"/>
      <c r="C56" s="12"/>
      <c r="D56" s="12"/>
      <c r="E56" s="12"/>
      <c r="F56" s="12"/>
      <c r="G56" s="12"/>
    </row>
  </sheetData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1"/>
  <sheetViews>
    <sheetView workbookViewId="0"/>
  </sheetViews>
  <sheetFormatPr defaultRowHeight="14.4"/>
  <cols>
    <col min="1" max="24" width="13.5546875" customWidth="1"/>
  </cols>
  <sheetData>
    <row r="1" spans="1:3">
      <c r="A1" s="53" t="s">
        <v>0</v>
      </c>
      <c r="B1" s="53" t="s">
        <v>1</v>
      </c>
      <c r="C1" s="53" t="s">
        <v>30</v>
      </c>
    </row>
    <row r="2" spans="1:3">
      <c r="A2" s="53" t="s">
        <v>78</v>
      </c>
      <c r="B2" s="54" t="s">
        <v>79</v>
      </c>
      <c r="C2" s="55">
        <v>0.15</v>
      </c>
    </row>
    <row r="3" spans="1:3">
      <c r="A3" s="53" t="s">
        <v>116</v>
      </c>
      <c r="B3" s="54" t="s">
        <v>117</v>
      </c>
      <c r="C3" s="53" t="s">
        <v>135</v>
      </c>
    </row>
    <row r="4" spans="1:3">
      <c r="A4" s="53" t="s">
        <v>151</v>
      </c>
      <c r="B4" s="54" t="s">
        <v>152</v>
      </c>
      <c r="C4" s="55">
        <v>0.14000000000000001</v>
      </c>
    </row>
    <row r="5" spans="1:3">
      <c r="A5" s="53" t="s">
        <v>188</v>
      </c>
      <c r="B5" s="54" t="s">
        <v>117</v>
      </c>
      <c r="C5" s="55">
        <v>0.13</v>
      </c>
    </row>
    <row r="6" spans="1:3">
      <c r="A6" s="53" t="s">
        <v>217</v>
      </c>
      <c r="B6" s="54" t="s">
        <v>218</v>
      </c>
      <c r="C6" s="53" t="s">
        <v>233</v>
      </c>
    </row>
    <row r="7" spans="1:3">
      <c r="A7" s="53" t="s">
        <v>251</v>
      </c>
      <c r="B7" s="54" t="s">
        <v>241</v>
      </c>
      <c r="C7" s="55">
        <v>0.16500000000000001</v>
      </c>
    </row>
    <row r="8" spans="1:3">
      <c r="A8" s="53" t="s">
        <v>280</v>
      </c>
      <c r="B8" s="54" t="s">
        <v>281</v>
      </c>
      <c r="C8" s="53" t="s">
        <v>295</v>
      </c>
    </row>
    <row r="9" spans="1:3">
      <c r="A9" s="53" t="s">
        <v>309</v>
      </c>
      <c r="B9" s="54" t="s">
        <v>310</v>
      </c>
      <c r="C9" s="53" t="s">
        <v>325</v>
      </c>
    </row>
    <row r="10" spans="1:3">
      <c r="A10" s="53" t="s">
        <v>339</v>
      </c>
      <c r="B10" s="54" t="s">
        <v>79</v>
      </c>
      <c r="C10" s="53" t="s">
        <v>351</v>
      </c>
    </row>
    <row r="11" spans="1:3">
      <c r="A11" s="53" t="s">
        <v>369</v>
      </c>
      <c r="B11" s="54" t="s">
        <v>241</v>
      </c>
      <c r="C11" s="53" t="s">
        <v>382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Policy_Info</vt:lpstr>
      <vt:lpstr>CP_Locations</vt:lpstr>
      <vt:lpstr>CP_Buildings</vt:lpstr>
      <vt:lpstr>CP_OccupancyQ</vt:lpstr>
      <vt:lpstr>CP_OptCoverages</vt:lpstr>
      <vt:lpstr>CP_LossPayees</vt:lpstr>
      <vt:lpstr>CP_GL_LossHistory</vt:lpstr>
      <vt:lpstr>GL_ClassCodes_Apollo</vt:lpstr>
      <vt:lpstr>GL_ClassCodes_Atrium</vt:lpstr>
      <vt:lpstr>GL_VacantBuildingQ</vt:lpstr>
      <vt:lpstr>GL_AddlInsureds</vt:lpstr>
      <vt:lpstr>Cargo_APD_Insured_UW_Info</vt:lpstr>
      <vt:lpstr>Cargo_APD_Drivers</vt:lpstr>
      <vt:lpstr>Cargo_APD_Vehicles</vt:lpstr>
      <vt:lpstr>Cargo_APD_Trailers</vt:lpstr>
      <vt:lpstr>Cargo_APD_Commodities</vt:lpstr>
      <vt:lpstr>Cargo_APD_Coverages</vt:lpstr>
      <vt:lpstr>Cargo_APD_LossHistory</vt:lpstr>
      <vt:lpstr>Cargo_APD_LossPayees</vt:lpstr>
      <vt:lpstr>Cargo_APD_Add_Info</vt:lpstr>
      <vt:lpstr>Test Scenario Details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2026-08-10T19:00:34Z</dcterms:created>
  <dcterms:modified xsi:type="dcterms:W3CDTF">2026-08-11T11:33:11Z</dcterms:modified>
  <cp:category/>
</cp:coreProperties>
</file>